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C93438CD-FD3A-4236-A5E9-33BD1BD8922A}" xr6:coauthVersionLast="47" xr6:coauthVersionMax="47" xr10:uidLastSave="{00000000-0000-0000-0000-000000000000}"/>
  <bookViews>
    <workbookView xWindow="-108" yWindow="-108" windowWidth="23256" windowHeight="12456" activeTab="1" xr2:uid="{77431055-04CD-4D7C-9741-704A5462B3EA}"/>
  </bookViews>
  <sheets>
    <sheet name="Data" sheetId="5" r:id="rId1"/>
    <sheet name="Date" sheetId="6" r:id="rId2"/>
    <sheet name="Time" sheetId="7" r:id="rId3"/>
  </sheets>
  <externalReferences>
    <externalReference r:id="rId4"/>
  </externalReference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2" i="7" l="1"/>
  <c r="R21" i="7"/>
  <c r="O21" i="7"/>
  <c r="L21" i="7"/>
  <c r="K21" i="7"/>
  <c r="J21" i="7"/>
  <c r="N21" i="7" s="1"/>
  <c r="O20" i="7"/>
  <c r="N20" i="7"/>
  <c r="L20" i="7"/>
  <c r="K20" i="7"/>
  <c r="J20" i="7"/>
  <c r="O19" i="7"/>
  <c r="L19" i="7"/>
  <c r="K19" i="7"/>
  <c r="N19" i="7" s="1"/>
  <c r="J19" i="7"/>
  <c r="O18" i="7"/>
  <c r="L18" i="7"/>
  <c r="K18" i="7"/>
  <c r="J18" i="7"/>
  <c r="N18" i="7" s="1"/>
  <c r="R17" i="7"/>
  <c r="O17" i="7"/>
  <c r="L17" i="7"/>
  <c r="K17" i="7"/>
  <c r="J17" i="7"/>
  <c r="N17" i="7" s="1"/>
  <c r="O16" i="7"/>
  <c r="N16" i="7"/>
  <c r="L16" i="7"/>
  <c r="K16" i="7"/>
  <c r="J16" i="7"/>
  <c r="R15" i="7"/>
  <c r="O15" i="7"/>
  <c r="L15" i="7"/>
  <c r="K15" i="7"/>
  <c r="N15" i="7" s="1"/>
  <c r="J15" i="7"/>
  <c r="O14" i="7"/>
  <c r="L14" i="7"/>
  <c r="K14" i="7"/>
  <c r="J14" i="7"/>
  <c r="N14" i="7" s="1"/>
  <c r="R13" i="7"/>
  <c r="O13" i="7"/>
  <c r="L13" i="7"/>
  <c r="K13" i="7"/>
  <c r="J13" i="7"/>
  <c r="N13" i="7" s="1"/>
  <c r="O12" i="7"/>
  <c r="N12" i="7"/>
  <c r="L12" i="7"/>
  <c r="K12" i="7"/>
  <c r="J12" i="7"/>
  <c r="O11" i="7"/>
  <c r="L11" i="7"/>
  <c r="K11" i="7"/>
  <c r="N11" i="7" s="1"/>
  <c r="J11" i="7"/>
  <c r="O10" i="7"/>
  <c r="L10" i="7"/>
  <c r="K10" i="7"/>
  <c r="J10" i="7"/>
  <c r="N10" i="7" s="1"/>
  <c r="R9" i="7"/>
  <c r="O9" i="7"/>
  <c r="L9" i="7"/>
  <c r="K9" i="7"/>
  <c r="J9" i="7"/>
  <c r="N9" i="7" s="1"/>
  <c r="O8" i="7"/>
  <c r="N8" i="7"/>
  <c r="L8" i="7"/>
  <c r="K8" i="7"/>
  <c r="J8" i="7"/>
  <c r="O7" i="7"/>
  <c r="L7" i="7"/>
  <c r="K7" i="7"/>
  <c r="N7" i="7" s="1"/>
  <c r="J7" i="7"/>
  <c r="O6" i="7"/>
  <c r="L6" i="7"/>
  <c r="K6" i="7"/>
  <c r="J6" i="7"/>
  <c r="N6" i="7" s="1"/>
  <c r="R5" i="7"/>
  <c r="O5" i="7"/>
  <c r="L5" i="7"/>
  <c r="K5" i="7"/>
  <c r="J5" i="7"/>
  <c r="N5" i="7" s="1"/>
  <c r="O4" i="7"/>
  <c r="N4" i="7"/>
  <c r="L4" i="7"/>
  <c r="K4" i="7"/>
  <c r="J4" i="7"/>
  <c r="O3" i="7"/>
  <c r="L3" i="7"/>
  <c r="K3" i="7"/>
  <c r="N3" i="7" s="1"/>
  <c r="J3" i="7"/>
  <c r="O2" i="7"/>
  <c r="L2" i="7"/>
  <c r="K2" i="7"/>
  <c r="N2" i="7" s="1"/>
  <c r="J2" i="7"/>
  <c r="R26" i="7" s="1"/>
  <c r="L21" i="6"/>
  <c r="N21" i="6" s="1"/>
  <c r="K21" i="6"/>
  <c r="J21" i="6"/>
  <c r="L20" i="6"/>
  <c r="N20" i="6" s="1"/>
  <c r="K20" i="6"/>
  <c r="J20" i="6"/>
  <c r="L19" i="6"/>
  <c r="N19" i="6" s="1"/>
  <c r="K19" i="6"/>
  <c r="J19" i="6"/>
  <c r="L18" i="6"/>
  <c r="N18" i="6" s="1"/>
  <c r="K18" i="6"/>
  <c r="J18" i="6"/>
  <c r="L17" i="6"/>
  <c r="N17" i="6" s="1"/>
  <c r="K17" i="6"/>
  <c r="J17" i="6"/>
  <c r="N16" i="6"/>
  <c r="L16" i="6"/>
  <c r="K16" i="6"/>
  <c r="J16" i="6"/>
  <c r="L15" i="6"/>
  <c r="K15" i="6"/>
  <c r="J15" i="6"/>
  <c r="N15" i="6" s="1"/>
  <c r="L14" i="6"/>
  <c r="N14" i="6" s="1"/>
  <c r="K14" i="6"/>
  <c r="J14" i="6"/>
  <c r="L13" i="6"/>
  <c r="N13" i="6" s="1"/>
  <c r="K13" i="6"/>
  <c r="J13" i="6"/>
  <c r="L12" i="6"/>
  <c r="N12" i="6" s="1"/>
  <c r="K12" i="6"/>
  <c r="J12" i="6"/>
  <c r="L11" i="6"/>
  <c r="K11" i="6"/>
  <c r="J11" i="6"/>
  <c r="N11" i="6" s="1"/>
  <c r="L10" i="6"/>
  <c r="N10" i="6" s="1"/>
  <c r="K10" i="6"/>
  <c r="J10" i="6"/>
  <c r="L9" i="6"/>
  <c r="N9" i="6" s="1"/>
  <c r="K9" i="6"/>
  <c r="J9" i="6"/>
  <c r="N8" i="6"/>
  <c r="L8" i="6"/>
  <c r="K8" i="6"/>
  <c r="J8" i="6"/>
  <c r="L7" i="6"/>
  <c r="K7" i="6"/>
  <c r="J7" i="6"/>
  <c r="N7" i="6" s="1"/>
  <c r="L6" i="6"/>
  <c r="N6" i="6" s="1"/>
  <c r="K6" i="6"/>
  <c r="J6" i="6"/>
  <c r="L5" i="6"/>
  <c r="N5" i="6" s="1"/>
  <c r="K5" i="6"/>
  <c r="J5" i="6"/>
  <c r="L4" i="6"/>
  <c r="N4" i="6" s="1"/>
  <c r="K4" i="6"/>
  <c r="J4" i="6"/>
  <c r="L3" i="6"/>
  <c r="K3" i="6"/>
  <c r="J3" i="6"/>
  <c r="N3" i="6" s="1"/>
  <c r="P2" i="6"/>
  <c r="R21" i="6" s="1"/>
  <c r="L2" i="6"/>
  <c r="N2" i="6" s="1"/>
  <c r="K2" i="6"/>
  <c r="J2" i="6"/>
  <c r="R11" i="6" l="1"/>
  <c r="R3" i="6"/>
  <c r="R2" i="6"/>
  <c r="R18" i="6"/>
  <c r="R16" i="6"/>
  <c r="R10" i="6"/>
  <c r="R8" i="6"/>
  <c r="R7" i="7"/>
  <c r="R18" i="7"/>
  <c r="R3" i="7"/>
  <c r="R11" i="7"/>
  <c r="R19" i="7"/>
  <c r="R6" i="7"/>
  <c r="R10" i="7"/>
  <c r="R14" i="7"/>
  <c r="R4" i="7"/>
  <c r="R8" i="7"/>
  <c r="R12" i="7"/>
  <c r="R16" i="7"/>
  <c r="R20" i="7"/>
  <c r="R23" i="7"/>
  <c r="R24" i="7"/>
  <c r="R25" i="7"/>
  <c r="R15" i="6"/>
  <c r="R4" i="6"/>
  <c r="R12" i="6"/>
  <c r="R20" i="6"/>
  <c r="R9" i="6"/>
  <c r="R17" i="6"/>
  <c r="R7" i="6"/>
  <c r="R6" i="6"/>
  <c r="R14" i="6"/>
  <c r="R19" i="6"/>
  <c r="R5" i="6"/>
  <c r="R13" i="6"/>
</calcChain>
</file>

<file path=xl/sharedStrings.xml><?xml version="1.0" encoding="utf-8"?>
<sst xmlns="http://schemas.openxmlformats.org/spreadsheetml/2006/main" count="470" uniqueCount="96">
  <si>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</si>
  <si>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</si>
  <si>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</si>
  <si>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</si>
  <si>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</si>
  <si>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</si>
  <si>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</si>
  <si>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</si>
  <si>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Month</t>
  </si>
  <si>
    <t>Day</t>
  </si>
  <si>
    <t>Year</t>
  </si>
  <si>
    <t>Application Date</t>
  </si>
  <si>
    <t>Today</t>
  </si>
  <si>
    <t>Days Since Applied</t>
  </si>
  <si>
    <t>Hour</t>
  </si>
  <si>
    <t>Minute</t>
  </si>
  <si>
    <t>Second</t>
  </si>
  <si>
    <t>Application Time</t>
  </si>
  <si>
    <t>Hours in a Day</t>
  </si>
  <si>
    <t>AID0123548</t>
  </si>
  <si>
    <t>Pam Beesly</t>
  </si>
  <si>
    <t>Data Analyst</t>
  </si>
  <si>
    <t>pam.beesly@outlook.com</t>
  </si>
  <si>
    <t>457 Oak St</t>
  </si>
  <si>
    <t>San Jose, CA, 95101</t>
  </si>
  <si>
    <t>Kafka, DataBricks, Spark, Python, GCP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</si>
  <si>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</si>
  <si>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</si>
  <si>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</si>
  <si>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</si>
  <si>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</si>
  <si>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</si>
  <si>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Power BI, GCP, Airflow, Hadoop, R</t>
  </si>
  <si>
    <t>AID0123550</t>
  </si>
  <si>
    <t>Kevin Malone</t>
  </si>
  <si>
    <t>Data Engineer</t>
  </si>
  <si>
    <t>kevin.malone@aol.com</t>
  </si>
  <si>
    <t>790 Pine St</t>
  </si>
  <si>
    <t>Azure, Java, SQL, DataBricks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</si>
  <si>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</si>
  <si>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</si>
  <si>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</si>
  <si>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</si>
  <si>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</si>
  <si>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</si>
  <si>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</si>
  <si>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DataBricks, Hadoop, Java</t>
  </si>
  <si>
    <t>AID0123553</t>
  </si>
  <si>
    <t>Ryan Howard</t>
  </si>
  <si>
    <t>Machine Learning Engineer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</si>
  <si>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</si>
  <si>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</si>
  <si>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</si>
  <si>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</si>
  <si>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</si>
  <si>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</si>
  <si>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 Hudson</t>
  </si>
  <si>
    <t>stanley.hudson@gmail.com</t>
  </si>
  <si>
    <t>123 Elm St</t>
  </si>
  <si>
    <t>Scala, Azure, R, Kafka</t>
  </si>
  <si>
    <t>AID0123557</t>
  </si>
  <si>
    <t>Angela Martin</t>
  </si>
  <si>
    <t>angela.martin@ymail.com</t>
  </si>
  <si>
    <t>Los Angeles, CA, 90001</t>
  </si>
  <si>
    <t>Snowflake, Excel, Scala</t>
  </si>
  <si>
    <t>AID0123558</t>
  </si>
  <si>
    <t>Dwight Schrute</t>
  </si>
  <si>
    <t>dwight.schrute@gmail.com</t>
  </si>
  <si>
    <t>San Diego, CA, 92101</t>
  </si>
  <si>
    <t>Excel, Power BI, R</t>
  </si>
  <si>
    <t>AID0123559</t>
  </si>
  <si>
    <t>Oscar Martinez</t>
  </si>
  <si>
    <t>oscar.martinez@outlook.com</t>
  </si>
  <si>
    <t>202 Birch St</t>
  </si>
  <si>
    <t>Scala, R, Hadoop, Power BI, SQL</t>
  </si>
  <si>
    <t>AID0123560</t>
  </si>
  <si>
    <t>AID0123561</t>
  </si>
  <si>
    <t>Phyllis Vance</t>
  </si>
  <si>
    <t>phyllis.vance@gmail.com</t>
  </si>
  <si>
    <t>Java, Scala, R</t>
  </si>
  <si>
    <t>AID0123562</t>
  </si>
  <si>
    <t>Meredith Palmer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</si>
  <si>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</si>
  <si>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</si>
  <si>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</si>
  <si>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</si>
  <si>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</si>
  <si>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</si>
  <si>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</si>
  <si>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</si>
  <si>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</si>
  <si>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</si>
  <si>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Snowflake, Power BI, Tableau, Airflow, SQL</t>
  </si>
  <si>
    <t>AID0123566</t>
  </si>
  <si>
    <t>AID0123567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</si>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</sst>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2" borderId="0" xfId="0" applyFont="1" applyFill="1"/>
    <xf numFmtId="0" fontId="0" fillId="2" borderId="0" xfId="0" applyFill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14" fontId="0" fillId="0" borderId="0" xfId="0" applyNumberFormat="1"/>
    <xf numFmtId="18" fontId="0" fillId="0" borderId="0" xfId="0" applyNumberFormat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0-4154-8F35-778CAC016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051D5-2FAB-4869-A803-D466F0D1B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%20learning/Excel%20Store/Excel_Data_Analytics_Course-main/Excel_Data_Analytics_Course-main/2_Formulas_Functions/9_Date_Time_Functions.xlsx" TargetMode="External"/><Relationship Id="rId2" Type="http://schemas.openxmlformats.org/officeDocument/2006/relationships/externalLinkPath" Target="file:///C:\Excel%20learning\Excel%20Store\Excel_Data_Analytics_Course-main\Excel_Data_Analytics_Course-main\2_Formulas_Functions\9_Date_Time_Functions.xlsx" TargetMode="External"/><Relationship Id="rId1" Type="http://schemas.openxmlformats.org/officeDocument/2006/relationships/externalLinkPath" Target="/Excel%20learning/Excel%20Store/Excel_Data_Analytics_Course-main/Excel_Data_Analytics_Course-main/2_Formulas_Functions/9_Date_Time_Fun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ate"/>
      <sheetName val="Time"/>
    </sheetNames>
    <sheetDataSet>
      <sheetData sheetId="0" refreshError="1"/>
      <sheetData sheetId="1" refreshError="1"/>
      <sheetData sheetId="2">
        <row r="2">
          <cell r="R2" t="str">
            <v>Count</v>
          </cell>
        </row>
        <row r="3">
          <cell r="Q3">
            <v>1</v>
          </cell>
          <cell r="R3">
            <v>0</v>
          </cell>
        </row>
        <row r="4">
          <cell r="Q4">
            <v>2</v>
          </cell>
          <cell r="R4">
            <v>0</v>
          </cell>
        </row>
        <row r="5">
          <cell r="Q5">
            <v>3</v>
          </cell>
          <cell r="R5">
            <v>0</v>
          </cell>
        </row>
        <row r="6">
          <cell r="Q6">
            <v>4</v>
          </cell>
          <cell r="R6">
            <v>0</v>
          </cell>
        </row>
        <row r="7">
          <cell r="Q7">
            <v>5</v>
          </cell>
          <cell r="R7">
            <v>0</v>
          </cell>
        </row>
        <row r="8">
          <cell r="Q8">
            <v>6</v>
          </cell>
          <cell r="R8">
            <v>1</v>
          </cell>
        </row>
        <row r="9">
          <cell r="Q9">
            <v>7</v>
          </cell>
          <cell r="R9">
            <v>3</v>
          </cell>
        </row>
        <row r="10">
          <cell r="Q10">
            <v>8</v>
          </cell>
          <cell r="R10">
            <v>1</v>
          </cell>
        </row>
        <row r="11">
          <cell r="Q11">
            <v>9</v>
          </cell>
          <cell r="R11">
            <v>1</v>
          </cell>
        </row>
        <row r="12">
          <cell r="Q12">
            <v>10</v>
          </cell>
          <cell r="R12">
            <v>1</v>
          </cell>
        </row>
        <row r="13">
          <cell r="Q13">
            <v>11</v>
          </cell>
          <cell r="R13">
            <v>1</v>
          </cell>
        </row>
        <row r="14">
          <cell r="Q14">
            <v>12</v>
          </cell>
          <cell r="R14">
            <v>1</v>
          </cell>
        </row>
        <row r="15">
          <cell r="Q15">
            <v>13</v>
          </cell>
          <cell r="R15">
            <v>1</v>
          </cell>
        </row>
        <row r="16">
          <cell r="Q16">
            <v>14</v>
          </cell>
          <cell r="R16">
            <v>1</v>
          </cell>
        </row>
        <row r="17">
          <cell r="Q17">
            <v>15</v>
          </cell>
          <cell r="R17">
            <v>1</v>
          </cell>
        </row>
        <row r="18">
          <cell r="Q18">
            <v>16</v>
          </cell>
          <cell r="R18">
            <v>1</v>
          </cell>
        </row>
        <row r="19">
          <cell r="Q19">
            <v>17</v>
          </cell>
          <cell r="R19">
            <v>7</v>
          </cell>
        </row>
        <row r="20">
          <cell r="Q20">
            <v>18</v>
          </cell>
          <cell r="R20">
            <v>0</v>
          </cell>
        </row>
        <row r="21">
          <cell r="Q21">
            <v>19</v>
          </cell>
          <cell r="R21">
            <v>0</v>
          </cell>
        </row>
        <row r="22">
          <cell r="Q22">
            <v>20</v>
          </cell>
          <cell r="R22">
            <v>0</v>
          </cell>
        </row>
        <row r="23">
          <cell r="Q23">
            <v>21</v>
          </cell>
          <cell r="R23">
            <v>0</v>
          </cell>
        </row>
        <row r="24">
          <cell r="Q24">
            <v>22</v>
          </cell>
          <cell r="R24">
            <v>0</v>
          </cell>
        </row>
        <row r="25">
          <cell r="Q25">
            <v>23</v>
          </cell>
          <cell r="R25">
            <v>0</v>
          </cell>
        </row>
        <row r="26">
          <cell r="Q26">
            <v>24</v>
          </cell>
          <cell r="R2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768B-BF5C-4C9C-82F1-27B50C7D1EE3}">
  <dimension ref="A1:AB21"/>
  <sheetViews>
    <sheetView topLeftCell="R1" workbookViewId="0">
      <selection activeCell="I1" sqref="I1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12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6" t="s">
        <v>8</v>
      </c>
      <c r="K1" s="6" t="s">
        <v>9</v>
      </c>
      <c r="L1" s="6" t="s">
        <v>10</v>
      </c>
      <c r="N1" s="6" t="s">
        <v>11</v>
      </c>
      <c r="P1" s="6" t="s">
        <v>12</v>
      </c>
      <c r="R1" s="6" t="s">
        <v>13</v>
      </c>
      <c r="T1" s="6" t="s">
        <v>14</v>
      </c>
      <c r="U1" s="6" t="s">
        <v>15</v>
      </c>
      <c r="V1" s="6" t="s">
        <v>16</v>
      </c>
      <c r="X1" s="6" t="s">
        <v>17</v>
      </c>
      <c r="Y1" s="6" t="s">
        <v>17</v>
      </c>
      <c r="AA1" s="6" t="s">
        <v>18</v>
      </c>
      <c r="AB1" s="7"/>
    </row>
    <row r="2" spans="1:28" x14ac:dyDescent="0.3">
      <c r="A2" s="8" t="s">
        <v>19</v>
      </c>
      <c r="B2" s="9" t="s">
        <v>20</v>
      </c>
      <c r="C2" s="9" t="s">
        <v>21</v>
      </c>
      <c r="D2" s="10">
        <v>44971.640451388892</v>
      </c>
      <c r="E2" s="9" t="s">
        <v>22</v>
      </c>
      <c r="F2" s="9" t="s">
        <v>23</v>
      </c>
      <c r="G2" s="9" t="s">
        <v>24</v>
      </c>
      <c r="H2" s="11" t="s">
        <v>25</v>
      </c>
      <c r="N2" s="12"/>
      <c r="P2" s="12"/>
      <c r="X2" s="13"/>
    </row>
    <row r="3" spans="1:28" x14ac:dyDescent="0.3">
      <c r="A3" s="8" t="s">
        <v>26</v>
      </c>
      <c r="B3" s="9" t="s">
        <v>27</v>
      </c>
      <c r="C3" s="9" t="s">
        <v>28</v>
      </c>
      <c r="D3" s="10">
        <v>45055.40662037037</v>
      </c>
      <c r="E3" s="9" t="s">
        <v>29</v>
      </c>
      <c r="F3" s="9" t="s">
        <v>30</v>
      </c>
      <c r="G3" s="9" t="s">
        <v>31</v>
      </c>
      <c r="H3" s="11" t="s">
        <v>32</v>
      </c>
      <c r="N3" s="12"/>
      <c r="X3" s="13"/>
    </row>
    <row r="4" spans="1:28" x14ac:dyDescent="0.3">
      <c r="A4" s="8" t="s">
        <v>33</v>
      </c>
      <c r="B4" s="9" t="s">
        <v>34</v>
      </c>
      <c r="C4" s="9" t="s">
        <v>35</v>
      </c>
      <c r="D4" s="10">
        <v>45128.729710648149</v>
      </c>
      <c r="E4" s="9" t="s">
        <v>36</v>
      </c>
      <c r="F4" s="9" t="s">
        <v>37</v>
      </c>
      <c r="G4" s="9" t="s">
        <v>31</v>
      </c>
      <c r="H4" s="11" t="s">
        <v>38</v>
      </c>
      <c r="N4" s="12"/>
      <c r="X4" s="13"/>
    </row>
    <row r="5" spans="1:28" x14ac:dyDescent="0.3">
      <c r="A5" s="8" t="s">
        <v>39</v>
      </c>
      <c r="B5" s="9" t="s">
        <v>20</v>
      </c>
      <c r="C5" s="9" t="s">
        <v>28</v>
      </c>
      <c r="D5" s="10">
        <v>45173.302187499998</v>
      </c>
      <c r="E5" s="9" t="s">
        <v>22</v>
      </c>
      <c r="F5" s="9" t="s">
        <v>23</v>
      </c>
      <c r="G5" s="9" t="s">
        <v>24</v>
      </c>
      <c r="H5" s="11" t="s">
        <v>25</v>
      </c>
      <c r="N5" s="12"/>
      <c r="X5" s="13"/>
    </row>
    <row r="6" spans="1:28" x14ac:dyDescent="0.3">
      <c r="A6" s="8" t="s">
        <v>40</v>
      </c>
      <c r="B6" s="9" t="s">
        <v>41</v>
      </c>
      <c r="C6" s="9" t="s">
        <v>42</v>
      </c>
      <c r="D6" s="10">
        <v>45248.70857638889</v>
      </c>
      <c r="E6" s="9" t="s">
        <v>43</v>
      </c>
      <c r="F6" s="9" t="s">
        <v>44</v>
      </c>
      <c r="G6" s="9" t="s">
        <v>45</v>
      </c>
      <c r="H6" s="11" t="s">
        <v>46</v>
      </c>
      <c r="N6" s="12"/>
      <c r="X6" s="13"/>
    </row>
    <row r="7" spans="1:28" x14ac:dyDescent="0.3">
      <c r="A7" s="8" t="s">
        <v>47</v>
      </c>
      <c r="B7" s="9" t="s">
        <v>48</v>
      </c>
      <c r="C7" s="9" t="s">
        <v>49</v>
      </c>
      <c r="D7" s="10">
        <v>45302.531921296293</v>
      </c>
      <c r="E7" s="9" t="s">
        <v>50</v>
      </c>
      <c r="F7" s="9" t="s">
        <v>51</v>
      </c>
      <c r="G7" s="9" t="s">
        <v>45</v>
      </c>
      <c r="H7" s="11" t="s">
        <v>52</v>
      </c>
      <c r="N7" s="12"/>
      <c r="X7" s="13"/>
    </row>
    <row r="8" spans="1:28" x14ac:dyDescent="0.3">
      <c r="A8" s="8" t="s">
        <v>53</v>
      </c>
      <c r="B8" s="9" t="s">
        <v>34</v>
      </c>
      <c r="C8" s="9" t="s">
        <v>28</v>
      </c>
      <c r="D8" s="10">
        <v>45354.687881944446</v>
      </c>
      <c r="E8" s="9" t="s">
        <v>36</v>
      </c>
      <c r="F8" s="9" t="s">
        <v>37</v>
      </c>
      <c r="G8" s="9" t="s">
        <v>31</v>
      </c>
      <c r="H8" s="11" t="s">
        <v>38</v>
      </c>
      <c r="N8" s="12"/>
      <c r="X8" s="13"/>
    </row>
    <row r="9" spans="1:28" x14ac:dyDescent="0.3">
      <c r="A9" s="8" t="s">
        <v>54</v>
      </c>
      <c r="B9" s="9" t="s">
        <v>48</v>
      </c>
      <c r="C9" s="9" t="s">
        <v>21</v>
      </c>
      <c r="D9" s="10">
        <v>45408.340810185182</v>
      </c>
      <c r="E9" s="9" t="s">
        <v>50</v>
      </c>
      <c r="F9" s="9" t="s">
        <v>51</v>
      </c>
      <c r="G9" s="9" t="s">
        <v>45</v>
      </c>
      <c r="H9" s="11" t="s">
        <v>52</v>
      </c>
      <c r="N9" s="12"/>
      <c r="X9" s="13"/>
    </row>
    <row r="10" spans="1:28" x14ac:dyDescent="0.3">
      <c r="A10" s="8" t="s">
        <v>55</v>
      </c>
      <c r="B10" s="9" t="s">
        <v>56</v>
      </c>
      <c r="C10" s="9" t="s">
        <v>42</v>
      </c>
      <c r="D10" s="10">
        <v>45458.743333333332</v>
      </c>
      <c r="E10" s="9" t="s">
        <v>57</v>
      </c>
      <c r="F10" s="9" t="s">
        <v>58</v>
      </c>
      <c r="G10" s="9" t="s">
        <v>31</v>
      </c>
      <c r="H10" s="11" t="s">
        <v>59</v>
      </c>
      <c r="N10" s="12"/>
      <c r="X10" s="13"/>
    </row>
    <row r="11" spans="1:28" x14ac:dyDescent="0.3">
      <c r="A11" s="8" t="s">
        <v>60</v>
      </c>
      <c r="B11" s="9" t="s">
        <v>61</v>
      </c>
      <c r="C11" s="9" t="s">
        <v>35</v>
      </c>
      <c r="D11" s="10">
        <v>45480.608055555553</v>
      </c>
      <c r="E11" s="9" t="s">
        <v>62</v>
      </c>
      <c r="F11" s="9" t="s">
        <v>58</v>
      </c>
      <c r="G11" s="9" t="s">
        <v>63</v>
      </c>
      <c r="H11" s="11" t="s">
        <v>64</v>
      </c>
      <c r="N11" s="12"/>
      <c r="X11" s="13"/>
    </row>
    <row r="12" spans="1:28" x14ac:dyDescent="0.3">
      <c r="A12" s="8" t="s">
        <v>65</v>
      </c>
      <c r="B12" s="9" t="s">
        <v>66</v>
      </c>
      <c r="C12" s="9" t="s">
        <v>42</v>
      </c>
      <c r="D12" s="10">
        <v>45455.284930555557</v>
      </c>
      <c r="E12" s="9" t="s">
        <v>67</v>
      </c>
      <c r="F12" s="9" t="s">
        <v>58</v>
      </c>
      <c r="G12" s="9" t="s">
        <v>68</v>
      </c>
      <c r="H12" s="11" t="s">
        <v>69</v>
      </c>
      <c r="N12" s="12"/>
      <c r="X12" s="13"/>
    </row>
    <row r="13" spans="1:28" x14ac:dyDescent="0.3">
      <c r="A13" s="8" t="s">
        <v>70</v>
      </c>
      <c r="B13" s="9" t="s">
        <v>71</v>
      </c>
      <c r="C13" s="9" t="s">
        <v>49</v>
      </c>
      <c r="D13" s="10">
        <v>44951.552141203705</v>
      </c>
      <c r="E13" s="9" t="s">
        <v>72</v>
      </c>
      <c r="F13" s="9" t="s">
        <v>73</v>
      </c>
      <c r="G13" s="9" t="s">
        <v>31</v>
      </c>
      <c r="H13" s="11" t="s">
        <v>74</v>
      </c>
      <c r="N13" s="12"/>
      <c r="X13" s="13"/>
    </row>
    <row r="14" spans="1:28" x14ac:dyDescent="0.3">
      <c r="A14" s="8" t="s">
        <v>75</v>
      </c>
      <c r="B14" s="9" t="s">
        <v>48</v>
      </c>
      <c r="C14" s="9" t="s">
        <v>35</v>
      </c>
      <c r="D14" s="10">
        <v>45002.490034722221</v>
      </c>
      <c r="E14" s="9" t="s">
        <v>50</v>
      </c>
      <c r="F14" s="9" t="s">
        <v>51</v>
      </c>
      <c r="G14" s="9" t="s">
        <v>45</v>
      </c>
      <c r="H14" s="11" t="s">
        <v>52</v>
      </c>
      <c r="N14" s="12"/>
      <c r="X14" s="13"/>
    </row>
    <row r="15" spans="1:28" x14ac:dyDescent="0.3">
      <c r="A15" s="8" t="s">
        <v>76</v>
      </c>
      <c r="B15" s="9" t="s">
        <v>77</v>
      </c>
      <c r="C15" s="9" t="s">
        <v>49</v>
      </c>
      <c r="D15" s="10">
        <v>45078.417256944442</v>
      </c>
      <c r="E15" s="9" t="s">
        <v>78</v>
      </c>
      <c r="F15" s="9" t="s">
        <v>58</v>
      </c>
      <c r="G15" s="9" t="s">
        <v>31</v>
      </c>
      <c r="H15" s="11" t="s">
        <v>79</v>
      </c>
      <c r="N15" s="12"/>
      <c r="X15" s="13"/>
    </row>
    <row r="16" spans="1:28" x14ac:dyDescent="0.3">
      <c r="A16" s="8" t="s">
        <v>80</v>
      </c>
      <c r="B16" s="9" t="s">
        <v>81</v>
      </c>
      <c r="C16" s="9" t="s">
        <v>49</v>
      </c>
      <c r="D16" s="10">
        <v>45168.729328703703</v>
      </c>
      <c r="E16" s="9" t="s">
        <v>82</v>
      </c>
      <c r="F16" s="9" t="s">
        <v>83</v>
      </c>
      <c r="G16" s="9" t="s">
        <v>31</v>
      </c>
      <c r="H16" s="11" t="s">
        <v>84</v>
      </c>
      <c r="N16" s="12"/>
      <c r="X16" s="13"/>
    </row>
    <row r="17" spans="1:24" x14ac:dyDescent="0.3">
      <c r="A17" s="8" t="s">
        <v>85</v>
      </c>
      <c r="B17" s="9" t="s">
        <v>27</v>
      </c>
      <c r="C17" s="9" t="s">
        <v>42</v>
      </c>
      <c r="D17" s="10">
        <v>45218.319780092592</v>
      </c>
      <c r="E17" s="9" t="s">
        <v>29</v>
      </c>
      <c r="F17" s="9" t="s">
        <v>30</v>
      </c>
      <c r="G17" s="9" t="s">
        <v>86</v>
      </c>
      <c r="H17" s="11" t="s">
        <v>32</v>
      </c>
      <c r="N17" s="12"/>
      <c r="X17" s="13"/>
    </row>
    <row r="18" spans="1:24" x14ac:dyDescent="0.3">
      <c r="A18" s="8" t="s">
        <v>87</v>
      </c>
      <c r="B18" s="9" t="s">
        <v>41</v>
      </c>
      <c r="C18" s="9" t="s">
        <v>35</v>
      </c>
      <c r="D18" s="10">
        <v>45350.719236111108</v>
      </c>
      <c r="E18" s="9" t="s">
        <v>43</v>
      </c>
      <c r="F18" s="9" t="s">
        <v>44</v>
      </c>
      <c r="G18" s="9" t="s">
        <v>45</v>
      </c>
      <c r="H18" s="11" t="s">
        <v>46</v>
      </c>
      <c r="N18" s="12"/>
      <c r="X18" s="13"/>
    </row>
    <row r="19" spans="1:24" x14ac:dyDescent="0.3">
      <c r="A19" s="8" t="s">
        <v>88</v>
      </c>
      <c r="B19" s="9" t="s">
        <v>89</v>
      </c>
      <c r="C19" s="9" t="s">
        <v>42</v>
      </c>
      <c r="D19" s="10">
        <v>45418.726354166669</v>
      </c>
      <c r="E19" s="9" t="s">
        <v>90</v>
      </c>
      <c r="F19" s="9" t="s">
        <v>83</v>
      </c>
      <c r="G19" s="9" t="s">
        <v>91</v>
      </c>
      <c r="H19" s="11" t="s">
        <v>92</v>
      </c>
      <c r="N19" s="12"/>
      <c r="X19" s="13"/>
    </row>
    <row r="20" spans="1:24" x14ac:dyDescent="0.3">
      <c r="A20" s="8" t="s">
        <v>93</v>
      </c>
      <c r="B20" s="9" t="s">
        <v>41</v>
      </c>
      <c r="C20" s="9" t="s">
        <v>49</v>
      </c>
      <c r="D20" s="10">
        <v>45496.291701388887</v>
      </c>
      <c r="E20" s="9" t="s">
        <v>43</v>
      </c>
      <c r="F20" s="9" t="s">
        <v>44</v>
      </c>
      <c r="G20" s="9" t="s">
        <v>45</v>
      </c>
      <c r="H20" s="11" t="s">
        <v>46</v>
      </c>
      <c r="N20" s="12"/>
      <c r="X20" s="13"/>
    </row>
    <row r="21" spans="1:24" ht="15" thickBot="1" x14ac:dyDescent="0.35">
      <c r="A21" s="8" t="s">
        <v>94</v>
      </c>
      <c r="B21" s="14" t="s">
        <v>41</v>
      </c>
      <c r="C21" s="14" t="s">
        <v>49</v>
      </c>
      <c r="D21" s="15">
        <v>45422.739884259259</v>
      </c>
      <c r="E21" s="14" t="s">
        <v>43</v>
      </c>
      <c r="F21" s="14" t="s">
        <v>44</v>
      </c>
      <c r="G21" s="14" t="s">
        <v>91</v>
      </c>
      <c r="H21" s="16" t="s">
        <v>46</v>
      </c>
      <c r="N21" s="12"/>
      <c r="X2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1177-9289-45E9-876A-9ED6C288367F}">
  <dimension ref="A1:R21"/>
  <sheetViews>
    <sheetView tabSelected="1" topLeftCell="I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J1" s="6" t="s">
        <v>8</v>
      </c>
      <c r="K1" s="6" t="s">
        <v>9</v>
      </c>
      <c r="L1" s="6" t="s">
        <v>10</v>
      </c>
      <c r="N1" s="6" t="s">
        <v>11</v>
      </c>
      <c r="P1" s="6" t="s">
        <v>12</v>
      </c>
      <c r="R1" s="6" t="s">
        <v>13</v>
      </c>
    </row>
    <row r="2" spans="1:18" x14ac:dyDescent="0.3">
      <c r="A2" s="8" t="s">
        <v>19</v>
      </c>
      <c r="B2" s="9" t="s">
        <v>20</v>
      </c>
      <c r="C2" s="9" t="s">
        <v>21</v>
      </c>
      <c r="D2" s="10">
        <v>44971.640451388892</v>
      </c>
      <c r="E2" s="9" t="s">
        <v>22</v>
      </c>
      <c r="F2" s="9" t="s">
        <v>23</v>
      </c>
      <c r="G2" s="9" t="s">
        <v>24</v>
      </c>
      <c r="H2" s="11" t="s">
        <v>25</v>
      </c>
      <c r="J2">
        <f>MONTH(D2)</f>
        <v>2</v>
      </c>
      <c r="K2">
        <f>DAY(D2)</f>
        <v>14</v>
      </c>
      <c r="L2">
        <f>YEAR(D2)</f>
        <v>2023</v>
      </c>
      <c r="N2" s="12">
        <f>DATE(L2,J2,K2)</f>
        <v>44971</v>
      </c>
      <c r="P2" s="12">
        <f ca="1">TODAY()</f>
        <v>46096</v>
      </c>
      <c r="R2">
        <f ca="1">DATEDIF(D2,$P$2,"D")</f>
        <v>1125</v>
      </c>
    </row>
    <row r="3" spans="1:18" x14ac:dyDescent="0.3">
      <c r="A3" s="8" t="s">
        <v>26</v>
      </c>
      <c r="B3" s="9" t="s">
        <v>27</v>
      </c>
      <c r="C3" s="9" t="s">
        <v>28</v>
      </c>
      <c r="D3" s="10">
        <v>45055.40662037037</v>
      </c>
      <c r="E3" s="9" t="s">
        <v>29</v>
      </c>
      <c r="F3" s="9" t="s">
        <v>30</v>
      </c>
      <c r="G3" s="9" t="s">
        <v>31</v>
      </c>
      <c r="H3" s="11" t="s">
        <v>32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12">
        <f t="shared" ref="N3:N21" si="3">DATE(L3,J3,K3)</f>
        <v>45055</v>
      </c>
      <c r="R3">
        <f ca="1">DATEDIF(D3,$P$2,"D")</f>
        <v>1041</v>
      </c>
    </row>
    <row r="4" spans="1:18" x14ac:dyDescent="0.3">
      <c r="A4" s="8" t="s">
        <v>33</v>
      </c>
      <c r="B4" s="9" t="s">
        <v>34</v>
      </c>
      <c r="C4" s="9" t="s">
        <v>35</v>
      </c>
      <c r="D4" s="10">
        <v>45128.729710648149</v>
      </c>
      <c r="E4" s="9" t="s">
        <v>36</v>
      </c>
      <c r="F4" s="9" t="s">
        <v>37</v>
      </c>
      <c r="G4" s="9" t="s">
        <v>31</v>
      </c>
      <c r="H4" s="11" t="s">
        <v>38</v>
      </c>
      <c r="J4">
        <f t="shared" si="0"/>
        <v>7</v>
      </c>
      <c r="K4">
        <f t="shared" si="1"/>
        <v>21</v>
      </c>
      <c r="L4">
        <f t="shared" si="2"/>
        <v>2023</v>
      </c>
      <c r="N4" s="12">
        <f t="shared" si="3"/>
        <v>45128</v>
      </c>
      <c r="R4">
        <f t="shared" ref="R4:R21" ca="1" si="4">DATEDIF(D4,$P$2,"D")</f>
        <v>968</v>
      </c>
    </row>
    <row r="5" spans="1:18" x14ac:dyDescent="0.3">
      <c r="A5" s="8" t="s">
        <v>39</v>
      </c>
      <c r="B5" s="9" t="s">
        <v>20</v>
      </c>
      <c r="C5" s="9" t="s">
        <v>28</v>
      </c>
      <c r="D5" s="10">
        <v>45173.302187499998</v>
      </c>
      <c r="E5" s="9" t="s">
        <v>22</v>
      </c>
      <c r="F5" s="9" t="s">
        <v>23</v>
      </c>
      <c r="G5" s="9" t="s">
        <v>24</v>
      </c>
      <c r="H5" s="11" t="s">
        <v>25</v>
      </c>
      <c r="J5">
        <f t="shared" si="0"/>
        <v>9</v>
      </c>
      <c r="K5">
        <f t="shared" si="1"/>
        <v>4</v>
      </c>
      <c r="L5">
        <f t="shared" si="2"/>
        <v>2023</v>
      </c>
      <c r="N5" s="12">
        <f t="shared" si="3"/>
        <v>45173</v>
      </c>
      <c r="R5">
        <f t="shared" ca="1" si="4"/>
        <v>923</v>
      </c>
    </row>
    <row r="6" spans="1:18" x14ac:dyDescent="0.3">
      <c r="A6" s="8" t="s">
        <v>40</v>
      </c>
      <c r="B6" s="9" t="s">
        <v>41</v>
      </c>
      <c r="C6" s="9" t="s">
        <v>42</v>
      </c>
      <c r="D6" s="10">
        <v>45248.70857638889</v>
      </c>
      <c r="E6" s="9" t="s">
        <v>43</v>
      </c>
      <c r="F6" s="9" t="s">
        <v>44</v>
      </c>
      <c r="G6" s="9" t="s">
        <v>45</v>
      </c>
      <c r="H6" s="11" t="s">
        <v>46</v>
      </c>
      <c r="J6">
        <f t="shared" si="0"/>
        <v>11</v>
      </c>
      <c r="K6">
        <f t="shared" si="1"/>
        <v>18</v>
      </c>
      <c r="L6">
        <f t="shared" si="2"/>
        <v>2023</v>
      </c>
      <c r="N6" s="12">
        <f t="shared" si="3"/>
        <v>45248</v>
      </c>
      <c r="R6">
        <f t="shared" ca="1" si="4"/>
        <v>848</v>
      </c>
    </row>
    <row r="7" spans="1:18" x14ac:dyDescent="0.3">
      <c r="A7" s="8" t="s">
        <v>47</v>
      </c>
      <c r="B7" s="9" t="s">
        <v>48</v>
      </c>
      <c r="C7" s="9" t="s">
        <v>49</v>
      </c>
      <c r="D7" s="10">
        <v>45302.531921296293</v>
      </c>
      <c r="E7" s="9" t="s">
        <v>50</v>
      </c>
      <c r="F7" s="9" t="s">
        <v>51</v>
      </c>
      <c r="G7" s="9" t="s">
        <v>45</v>
      </c>
      <c r="H7" s="11" t="s">
        <v>52</v>
      </c>
      <c r="J7">
        <f t="shared" si="0"/>
        <v>1</v>
      </c>
      <c r="K7">
        <f t="shared" si="1"/>
        <v>11</v>
      </c>
      <c r="L7">
        <f t="shared" si="2"/>
        <v>2024</v>
      </c>
      <c r="N7" s="12">
        <f t="shared" si="3"/>
        <v>45302</v>
      </c>
      <c r="R7">
        <f t="shared" ca="1" si="4"/>
        <v>794</v>
      </c>
    </row>
    <row r="8" spans="1:18" x14ac:dyDescent="0.3">
      <c r="A8" s="8" t="s">
        <v>53</v>
      </c>
      <c r="B8" s="9" t="s">
        <v>34</v>
      </c>
      <c r="C8" s="9" t="s">
        <v>28</v>
      </c>
      <c r="D8" s="10">
        <v>45354.687881944446</v>
      </c>
      <c r="E8" s="9" t="s">
        <v>36</v>
      </c>
      <c r="F8" s="9" t="s">
        <v>37</v>
      </c>
      <c r="G8" s="9" t="s">
        <v>31</v>
      </c>
      <c r="H8" s="11" t="s">
        <v>38</v>
      </c>
      <c r="J8">
        <f t="shared" si="0"/>
        <v>3</v>
      </c>
      <c r="K8">
        <f t="shared" si="1"/>
        <v>3</v>
      </c>
      <c r="L8">
        <f t="shared" si="2"/>
        <v>2024</v>
      </c>
      <c r="N8" s="12">
        <f t="shared" si="3"/>
        <v>45354</v>
      </c>
      <c r="P8" s="12"/>
      <c r="R8">
        <f t="shared" ca="1" si="4"/>
        <v>742</v>
      </c>
    </row>
    <row r="9" spans="1:18" x14ac:dyDescent="0.3">
      <c r="A9" s="8" t="s">
        <v>54</v>
      </c>
      <c r="B9" s="9" t="s">
        <v>48</v>
      </c>
      <c r="C9" s="9" t="s">
        <v>21</v>
      </c>
      <c r="D9" s="10">
        <v>45408.340810185182</v>
      </c>
      <c r="E9" s="9" t="s">
        <v>50</v>
      </c>
      <c r="F9" s="9" t="s">
        <v>51</v>
      </c>
      <c r="G9" s="9" t="s">
        <v>45</v>
      </c>
      <c r="H9" s="11" t="s">
        <v>52</v>
      </c>
      <c r="J9">
        <f t="shared" si="0"/>
        <v>4</v>
      </c>
      <c r="K9">
        <f t="shared" si="1"/>
        <v>26</v>
      </c>
      <c r="L9">
        <f t="shared" si="2"/>
        <v>2024</v>
      </c>
      <c r="N9" s="12">
        <f t="shared" si="3"/>
        <v>45408</v>
      </c>
      <c r="R9">
        <f t="shared" ca="1" si="4"/>
        <v>688</v>
      </c>
    </row>
    <row r="10" spans="1:18" x14ac:dyDescent="0.3">
      <c r="A10" s="8" t="s">
        <v>55</v>
      </c>
      <c r="B10" s="9" t="s">
        <v>56</v>
      </c>
      <c r="C10" s="9" t="s">
        <v>42</v>
      </c>
      <c r="D10" s="10">
        <v>45458.743333333332</v>
      </c>
      <c r="E10" s="9" t="s">
        <v>57</v>
      </c>
      <c r="F10" s="9" t="s">
        <v>58</v>
      </c>
      <c r="G10" s="9" t="s">
        <v>31</v>
      </c>
      <c r="H10" s="11" t="s">
        <v>59</v>
      </c>
      <c r="J10">
        <f t="shared" si="0"/>
        <v>6</v>
      </c>
      <c r="K10">
        <f t="shared" si="1"/>
        <v>15</v>
      </c>
      <c r="L10">
        <f t="shared" si="2"/>
        <v>2024</v>
      </c>
      <c r="N10" s="12">
        <f t="shared" si="3"/>
        <v>45458</v>
      </c>
      <c r="R10">
        <f t="shared" ca="1" si="4"/>
        <v>638</v>
      </c>
    </row>
    <row r="11" spans="1:18" x14ac:dyDescent="0.3">
      <c r="A11" s="8" t="s">
        <v>60</v>
      </c>
      <c r="B11" s="9" t="s">
        <v>61</v>
      </c>
      <c r="C11" s="9" t="s">
        <v>35</v>
      </c>
      <c r="D11" s="10">
        <v>45480.608055555553</v>
      </c>
      <c r="E11" s="9" t="s">
        <v>62</v>
      </c>
      <c r="F11" s="9" t="s">
        <v>58</v>
      </c>
      <c r="G11" s="9" t="s">
        <v>63</v>
      </c>
      <c r="H11" s="11" t="s">
        <v>64</v>
      </c>
      <c r="J11">
        <f t="shared" si="0"/>
        <v>7</v>
      </c>
      <c r="K11">
        <f t="shared" si="1"/>
        <v>7</v>
      </c>
      <c r="L11">
        <f t="shared" si="2"/>
        <v>2024</v>
      </c>
      <c r="N11" s="12">
        <f>DATE(L11,J11,K11)</f>
        <v>45480</v>
      </c>
      <c r="R11">
        <f t="shared" ca="1" si="4"/>
        <v>616</v>
      </c>
    </row>
    <row r="12" spans="1:18" x14ac:dyDescent="0.3">
      <c r="A12" s="8" t="s">
        <v>65</v>
      </c>
      <c r="B12" s="9" t="s">
        <v>66</v>
      </c>
      <c r="C12" s="9" t="s">
        <v>42</v>
      </c>
      <c r="D12" s="10">
        <v>45455.284930555557</v>
      </c>
      <c r="E12" s="9" t="s">
        <v>67</v>
      </c>
      <c r="F12" s="9" t="s">
        <v>58</v>
      </c>
      <c r="G12" s="9" t="s">
        <v>68</v>
      </c>
      <c r="H12" s="11" t="s">
        <v>69</v>
      </c>
      <c r="J12">
        <f t="shared" si="0"/>
        <v>6</v>
      </c>
      <c r="K12">
        <f t="shared" si="1"/>
        <v>12</v>
      </c>
      <c r="L12">
        <f t="shared" si="2"/>
        <v>2024</v>
      </c>
      <c r="N12" s="12">
        <f t="shared" si="3"/>
        <v>45455</v>
      </c>
      <c r="R12">
        <f t="shared" ca="1" si="4"/>
        <v>641</v>
      </c>
    </row>
    <row r="13" spans="1:18" x14ac:dyDescent="0.3">
      <c r="A13" s="8" t="s">
        <v>70</v>
      </c>
      <c r="B13" s="9" t="s">
        <v>71</v>
      </c>
      <c r="C13" s="9" t="s">
        <v>49</v>
      </c>
      <c r="D13" s="10">
        <v>44951.552141203705</v>
      </c>
      <c r="E13" s="9" t="s">
        <v>72</v>
      </c>
      <c r="F13" s="9" t="s">
        <v>73</v>
      </c>
      <c r="G13" s="9" t="s">
        <v>31</v>
      </c>
      <c r="H13" s="11" t="s">
        <v>74</v>
      </c>
      <c r="J13">
        <f t="shared" si="0"/>
        <v>1</v>
      </c>
      <c r="K13">
        <f t="shared" si="1"/>
        <v>25</v>
      </c>
      <c r="L13">
        <f t="shared" si="2"/>
        <v>2023</v>
      </c>
      <c r="N13" s="12">
        <f t="shared" si="3"/>
        <v>44951</v>
      </c>
      <c r="R13">
        <f t="shared" ca="1" si="4"/>
        <v>1145</v>
      </c>
    </row>
    <row r="14" spans="1:18" x14ac:dyDescent="0.3">
      <c r="A14" s="8" t="s">
        <v>75</v>
      </c>
      <c r="B14" s="9" t="s">
        <v>48</v>
      </c>
      <c r="C14" s="9" t="s">
        <v>35</v>
      </c>
      <c r="D14" s="10">
        <v>45002.490034722221</v>
      </c>
      <c r="E14" s="9" t="s">
        <v>50</v>
      </c>
      <c r="F14" s="9" t="s">
        <v>51</v>
      </c>
      <c r="G14" s="9" t="s">
        <v>45</v>
      </c>
      <c r="H14" s="11" t="s">
        <v>52</v>
      </c>
      <c r="J14">
        <f t="shared" si="0"/>
        <v>3</v>
      </c>
      <c r="K14">
        <f t="shared" si="1"/>
        <v>17</v>
      </c>
      <c r="L14">
        <f t="shared" si="2"/>
        <v>2023</v>
      </c>
      <c r="N14" s="12">
        <f t="shared" si="3"/>
        <v>45002</v>
      </c>
      <c r="R14">
        <f t="shared" ca="1" si="4"/>
        <v>1094</v>
      </c>
    </row>
    <row r="15" spans="1:18" x14ac:dyDescent="0.3">
      <c r="A15" s="8" t="s">
        <v>76</v>
      </c>
      <c r="B15" s="9" t="s">
        <v>77</v>
      </c>
      <c r="C15" s="9" t="s">
        <v>49</v>
      </c>
      <c r="D15" s="10">
        <v>45078.417256944442</v>
      </c>
      <c r="E15" s="9" t="s">
        <v>78</v>
      </c>
      <c r="F15" s="9" t="s">
        <v>58</v>
      </c>
      <c r="G15" s="9" t="s">
        <v>31</v>
      </c>
      <c r="H15" s="11" t="s">
        <v>79</v>
      </c>
      <c r="J15">
        <f t="shared" si="0"/>
        <v>6</v>
      </c>
      <c r="K15">
        <f t="shared" si="1"/>
        <v>1</v>
      </c>
      <c r="L15">
        <f t="shared" si="2"/>
        <v>2023</v>
      </c>
      <c r="N15" s="12">
        <f t="shared" si="3"/>
        <v>45078</v>
      </c>
      <c r="R15">
        <f t="shared" ca="1" si="4"/>
        <v>1018</v>
      </c>
    </row>
    <row r="16" spans="1:18" x14ac:dyDescent="0.3">
      <c r="A16" s="8" t="s">
        <v>80</v>
      </c>
      <c r="B16" s="9" t="s">
        <v>81</v>
      </c>
      <c r="C16" s="9" t="s">
        <v>49</v>
      </c>
      <c r="D16" s="10">
        <v>45168.729328703703</v>
      </c>
      <c r="E16" s="9" t="s">
        <v>82</v>
      </c>
      <c r="F16" s="9" t="s">
        <v>83</v>
      </c>
      <c r="G16" s="9" t="s">
        <v>31</v>
      </c>
      <c r="H16" s="11" t="s">
        <v>84</v>
      </c>
      <c r="J16">
        <f t="shared" si="0"/>
        <v>8</v>
      </c>
      <c r="K16">
        <f t="shared" si="1"/>
        <v>30</v>
      </c>
      <c r="L16">
        <f t="shared" si="2"/>
        <v>2023</v>
      </c>
      <c r="N16" s="12">
        <f t="shared" si="3"/>
        <v>45168</v>
      </c>
      <c r="R16">
        <f t="shared" ca="1" si="4"/>
        <v>928</v>
      </c>
    </row>
    <row r="17" spans="1:18" x14ac:dyDescent="0.3">
      <c r="A17" s="8" t="s">
        <v>85</v>
      </c>
      <c r="B17" s="9" t="s">
        <v>27</v>
      </c>
      <c r="C17" s="9" t="s">
        <v>42</v>
      </c>
      <c r="D17" s="10">
        <v>45218.319780092592</v>
      </c>
      <c r="E17" s="9" t="s">
        <v>29</v>
      </c>
      <c r="F17" s="9" t="s">
        <v>30</v>
      </c>
      <c r="G17" s="9" t="s">
        <v>86</v>
      </c>
      <c r="H17" s="11" t="s">
        <v>32</v>
      </c>
      <c r="J17">
        <f t="shared" si="0"/>
        <v>10</v>
      </c>
      <c r="K17">
        <f t="shared" si="1"/>
        <v>19</v>
      </c>
      <c r="L17">
        <f t="shared" si="2"/>
        <v>2023</v>
      </c>
      <c r="N17" s="12">
        <f t="shared" si="3"/>
        <v>45218</v>
      </c>
      <c r="R17">
        <f t="shared" ca="1" si="4"/>
        <v>878</v>
      </c>
    </row>
    <row r="18" spans="1:18" x14ac:dyDescent="0.3">
      <c r="A18" s="8" t="s">
        <v>87</v>
      </c>
      <c r="B18" s="9" t="s">
        <v>41</v>
      </c>
      <c r="C18" s="9" t="s">
        <v>35</v>
      </c>
      <c r="D18" s="10">
        <v>45350.719236111108</v>
      </c>
      <c r="E18" s="9" t="s">
        <v>43</v>
      </c>
      <c r="F18" s="9" t="s">
        <v>44</v>
      </c>
      <c r="G18" s="9" t="s">
        <v>45</v>
      </c>
      <c r="H18" s="11" t="s">
        <v>46</v>
      </c>
      <c r="J18">
        <f t="shared" si="0"/>
        <v>2</v>
      </c>
      <c r="K18">
        <f t="shared" si="1"/>
        <v>28</v>
      </c>
      <c r="L18">
        <f t="shared" si="2"/>
        <v>2024</v>
      </c>
      <c r="N18" s="12">
        <f t="shared" si="3"/>
        <v>45350</v>
      </c>
      <c r="R18">
        <f t="shared" ca="1" si="4"/>
        <v>746</v>
      </c>
    </row>
    <row r="19" spans="1:18" x14ac:dyDescent="0.3">
      <c r="A19" s="8" t="s">
        <v>88</v>
      </c>
      <c r="B19" s="9" t="s">
        <v>89</v>
      </c>
      <c r="C19" s="9" t="s">
        <v>42</v>
      </c>
      <c r="D19" s="10">
        <v>45418.726354166669</v>
      </c>
      <c r="E19" s="9" t="s">
        <v>90</v>
      </c>
      <c r="F19" s="9" t="s">
        <v>83</v>
      </c>
      <c r="G19" s="9" t="s">
        <v>91</v>
      </c>
      <c r="H19" s="11" t="s">
        <v>92</v>
      </c>
      <c r="J19">
        <f t="shared" si="0"/>
        <v>5</v>
      </c>
      <c r="K19">
        <f t="shared" si="1"/>
        <v>6</v>
      </c>
      <c r="L19">
        <f t="shared" si="2"/>
        <v>2024</v>
      </c>
      <c r="N19" s="12">
        <f t="shared" si="3"/>
        <v>45418</v>
      </c>
      <c r="R19">
        <f t="shared" ca="1" si="4"/>
        <v>678</v>
      </c>
    </row>
    <row r="20" spans="1:18" x14ac:dyDescent="0.3">
      <c r="A20" s="8" t="s">
        <v>93</v>
      </c>
      <c r="B20" s="9" t="s">
        <v>41</v>
      </c>
      <c r="C20" s="9" t="s">
        <v>49</v>
      </c>
      <c r="D20" s="10">
        <v>45496.291701388887</v>
      </c>
      <c r="E20" s="9" t="s">
        <v>43</v>
      </c>
      <c r="F20" s="9" t="s">
        <v>44</v>
      </c>
      <c r="G20" s="9" t="s">
        <v>45</v>
      </c>
      <c r="H20" s="11" t="s">
        <v>46</v>
      </c>
      <c r="J20">
        <f t="shared" si="0"/>
        <v>7</v>
      </c>
      <c r="K20">
        <f t="shared" si="1"/>
        <v>23</v>
      </c>
      <c r="L20">
        <f t="shared" si="2"/>
        <v>2024</v>
      </c>
      <c r="N20" s="12">
        <f t="shared" si="3"/>
        <v>45496</v>
      </c>
      <c r="R20">
        <f t="shared" ca="1" si="4"/>
        <v>600</v>
      </c>
    </row>
    <row r="21" spans="1:18" ht="15" thickBot="1" x14ac:dyDescent="0.35">
      <c r="A21" s="8" t="s">
        <v>94</v>
      </c>
      <c r="B21" s="14" t="s">
        <v>41</v>
      </c>
      <c r="C21" s="14" t="s">
        <v>49</v>
      </c>
      <c r="D21" s="15">
        <v>45422.739884259259</v>
      </c>
      <c r="E21" s="14" t="s">
        <v>43</v>
      </c>
      <c r="F21" s="14" t="s">
        <v>44</v>
      </c>
      <c r="G21" s="14" t="s">
        <v>91</v>
      </c>
      <c r="H21" s="16" t="s">
        <v>46</v>
      </c>
      <c r="J21">
        <f t="shared" si="0"/>
        <v>5</v>
      </c>
      <c r="K21">
        <f t="shared" si="1"/>
        <v>10</v>
      </c>
      <c r="L21">
        <f t="shared" si="2"/>
        <v>2024</v>
      </c>
      <c r="N21" s="12">
        <f t="shared" si="3"/>
        <v>45422</v>
      </c>
      <c r="R21">
        <f t="shared" ca="1" si="4"/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AADB-57A3-44C9-A827-28462AE909F4}">
  <dimension ref="A1:R26"/>
  <sheetViews>
    <sheetView topLeftCell="H8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J1" s="6" t="s">
        <v>14</v>
      </c>
      <c r="K1" s="6" t="s">
        <v>15</v>
      </c>
      <c r="L1" s="6" t="s">
        <v>16</v>
      </c>
      <c r="N1" s="6" t="s">
        <v>17</v>
      </c>
      <c r="O1" s="6" t="s">
        <v>17</v>
      </c>
      <c r="Q1" s="6" t="s">
        <v>18</v>
      </c>
      <c r="R1" s="7"/>
    </row>
    <row r="2" spans="1:18" x14ac:dyDescent="0.3">
      <c r="A2" s="8" t="s">
        <v>19</v>
      </c>
      <c r="B2" s="9" t="s">
        <v>20</v>
      </c>
      <c r="C2" s="9" t="s">
        <v>21</v>
      </c>
      <c r="D2" s="10">
        <v>44971.640451388892</v>
      </c>
      <c r="E2" s="9" t="s">
        <v>22</v>
      </c>
      <c r="F2" s="9" t="s">
        <v>23</v>
      </c>
      <c r="G2" s="9" t="s">
        <v>24</v>
      </c>
      <c r="H2" s="11" t="s">
        <v>25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14</v>
      </c>
      <c r="R2" t="s">
        <v>95</v>
      </c>
    </row>
    <row r="3" spans="1:18" x14ac:dyDescent="0.3">
      <c r="A3" s="8" t="s">
        <v>26</v>
      </c>
      <c r="B3" s="9" t="s">
        <v>27</v>
      </c>
      <c r="C3" s="9" t="s">
        <v>28</v>
      </c>
      <c r="D3" s="10">
        <v>45055.40662037037</v>
      </c>
      <c r="E3" s="9" t="s">
        <v>29</v>
      </c>
      <c r="F3" s="9" t="s">
        <v>30</v>
      </c>
      <c r="G3" s="9" t="s">
        <v>31</v>
      </c>
      <c r="H3" s="11" t="s">
        <v>32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7">
        <v>1</v>
      </c>
      <c r="R3">
        <f>COUNTIF($J$2:$J$21,Q3)</f>
        <v>0</v>
      </c>
    </row>
    <row r="4" spans="1:18" x14ac:dyDescent="0.3">
      <c r="A4" s="8" t="s">
        <v>33</v>
      </c>
      <c r="B4" s="9" t="s">
        <v>34</v>
      </c>
      <c r="C4" s="9" t="s">
        <v>35</v>
      </c>
      <c r="D4" s="10">
        <v>45128.729710648149</v>
      </c>
      <c r="E4" s="9" t="s">
        <v>36</v>
      </c>
      <c r="F4" s="9" t="s">
        <v>37</v>
      </c>
      <c r="G4" s="9" t="s">
        <v>31</v>
      </c>
      <c r="H4" s="11" t="s">
        <v>38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7">
        <v>2</v>
      </c>
      <c r="R4">
        <f t="shared" ref="R4:R26" si="5">COUNTIF($J$2:$J$21,Q4)</f>
        <v>0</v>
      </c>
    </row>
    <row r="5" spans="1:18" x14ac:dyDescent="0.3">
      <c r="A5" s="8" t="s">
        <v>39</v>
      </c>
      <c r="B5" s="9" t="s">
        <v>20</v>
      </c>
      <c r="C5" s="9" t="s">
        <v>28</v>
      </c>
      <c r="D5" s="10">
        <v>45173.302187499998</v>
      </c>
      <c r="E5" s="9" t="s">
        <v>22</v>
      </c>
      <c r="F5" s="9" t="s">
        <v>23</v>
      </c>
      <c r="G5" s="9" t="s">
        <v>24</v>
      </c>
      <c r="H5" s="11" t="s">
        <v>25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7">
        <v>3</v>
      </c>
      <c r="R5">
        <f t="shared" si="5"/>
        <v>0</v>
      </c>
    </row>
    <row r="6" spans="1:18" x14ac:dyDescent="0.3">
      <c r="A6" s="8" t="s">
        <v>40</v>
      </c>
      <c r="B6" s="9" t="s">
        <v>41</v>
      </c>
      <c r="C6" s="9" t="s">
        <v>42</v>
      </c>
      <c r="D6" s="10">
        <v>45248.70857638889</v>
      </c>
      <c r="E6" s="9" t="s">
        <v>43</v>
      </c>
      <c r="F6" s="9" t="s">
        <v>44</v>
      </c>
      <c r="G6" s="9" t="s">
        <v>45</v>
      </c>
      <c r="H6" s="11" t="s">
        <v>46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7">
        <v>4</v>
      </c>
      <c r="R6">
        <f t="shared" si="5"/>
        <v>0</v>
      </c>
    </row>
    <row r="7" spans="1:18" x14ac:dyDescent="0.3">
      <c r="A7" s="8" t="s">
        <v>47</v>
      </c>
      <c r="B7" s="9" t="s">
        <v>48</v>
      </c>
      <c r="C7" s="9" t="s">
        <v>49</v>
      </c>
      <c r="D7" s="10">
        <v>45302.531921296293</v>
      </c>
      <c r="E7" s="9" t="s">
        <v>50</v>
      </c>
      <c r="F7" s="9" t="s">
        <v>51</v>
      </c>
      <c r="G7" s="9" t="s">
        <v>45</v>
      </c>
      <c r="H7" s="11" t="s">
        <v>52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7">
        <v>5</v>
      </c>
      <c r="R7">
        <f t="shared" si="5"/>
        <v>0</v>
      </c>
    </row>
    <row r="8" spans="1:18" x14ac:dyDescent="0.3">
      <c r="A8" s="8" t="s">
        <v>53</v>
      </c>
      <c r="B8" s="9" t="s">
        <v>34</v>
      </c>
      <c r="C8" s="9" t="s">
        <v>28</v>
      </c>
      <c r="D8" s="10">
        <v>45354.687881944446</v>
      </c>
      <c r="E8" s="9" t="s">
        <v>36</v>
      </c>
      <c r="F8" s="9" t="s">
        <v>37</v>
      </c>
      <c r="G8" s="9" t="s">
        <v>31</v>
      </c>
      <c r="H8" s="11" t="s">
        <v>38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7">
        <v>6</v>
      </c>
      <c r="R8">
        <f t="shared" si="5"/>
        <v>1</v>
      </c>
    </row>
    <row r="9" spans="1:18" x14ac:dyDescent="0.3">
      <c r="A9" s="8" t="s">
        <v>54</v>
      </c>
      <c r="B9" s="9" t="s">
        <v>48</v>
      </c>
      <c r="C9" s="9" t="s">
        <v>21</v>
      </c>
      <c r="D9" s="10">
        <v>45408.340810185182</v>
      </c>
      <c r="E9" s="9" t="s">
        <v>50</v>
      </c>
      <c r="F9" s="9" t="s">
        <v>51</v>
      </c>
      <c r="G9" s="9" t="s">
        <v>45</v>
      </c>
      <c r="H9" s="11" t="s">
        <v>52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7">
        <v>7</v>
      </c>
      <c r="R9">
        <f t="shared" si="5"/>
        <v>3</v>
      </c>
    </row>
    <row r="10" spans="1:18" x14ac:dyDescent="0.3">
      <c r="A10" s="8" t="s">
        <v>55</v>
      </c>
      <c r="B10" s="9" t="s">
        <v>56</v>
      </c>
      <c r="C10" s="9" t="s">
        <v>42</v>
      </c>
      <c r="D10" s="10">
        <v>45458.743333333332</v>
      </c>
      <c r="E10" s="9" t="s">
        <v>57</v>
      </c>
      <c r="F10" s="9" t="s">
        <v>58</v>
      </c>
      <c r="G10" s="9" t="s">
        <v>31</v>
      </c>
      <c r="H10" s="11" t="s">
        <v>59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7">
        <v>8</v>
      </c>
      <c r="R10">
        <f t="shared" si="5"/>
        <v>1</v>
      </c>
    </row>
    <row r="11" spans="1:18" x14ac:dyDescent="0.3">
      <c r="A11" s="8" t="s">
        <v>60</v>
      </c>
      <c r="B11" s="9" t="s">
        <v>61</v>
      </c>
      <c r="C11" s="9" t="s">
        <v>35</v>
      </c>
      <c r="D11" s="10">
        <v>45480.608055555553</v>
      </c>
      <c r="E11" s="9" t="s">
        <v>62</v>
      </c>
      <c r="F11" s="9" t="s">
        <v>58</v>
      </c>
      <c r="G11" s="9" t="s">
        <v>63</v>
      </c>
      <c r="H11" s="11" t="s">
        <v>64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7">
        <v>9</v>
      </c>
      <c r="R11">
        <f t="shared" si="5"/>
        <v>1</v>
      </c>
    </row>
    <row r="12" spans="1:18" x14ac:dyDescent="0.3">
      <c r="A12" s="8" t="s">
        <v>65</v>
      </c>
      <c r="B12" s="9" t="s">
        <v>66</v>
      </c>
      <c r="C12" s="9" t="s">
        <v>42</v>
      </c>
      <c r="D12" s="10">
        <v>45455.284930555557</v>
      </c>
      <c r="E12" s="9" t="s">
        <v>67</v>
      </c>
      <c r="F12" s="9" t="s">
        <v>58</v>
      </c>
      <c r="G12" s="9" t="s">
        <v>68</v>
      </c>
      <c r="H12" s="11" t="s">
        <v>69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7">
        <v>10</v>
      </c>
      <c r="R12">
        <f t="shared" si="5"/>
        <v>1</v>
      </c>
    </row>
    <row r="13" spans="1:18" x14ac:dyDescent="0.3">
      <c r="A13" s="8" t="s">
        <v>70</v>
      </c>
      <c r="B13" s="9" t="s">
        <v>71</v>
      </c>
      <c r="C13" s="9" t="s">
        <v>49</v>
      </c>
      <c r="D13" s="10">
        <v>44951.552141203705</v>
      </c>
      <c r="E13" s="9" t="s">
        <v>72</v>
      </c>
      <c r="F13" s="9" t="s">
        <v>73</v>
      </c>
      <c r="G13" s="9" t="s">
        <v>31</v>
      </c>
      <c r="H13" s="11" t="s">
        <v>74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7">
        <v>11</v>
      </c>
      <c r="R13">
        <f t="shared" si="5"/>
        <v>1</v>
      </c>
    </row>
    <row r="14" spans="1:18" x14ac:dyDescent="0.3">
      <c r="A14" s="8" t="s">
        <v>75</v>
      </c>
      <c r="B14" s="9" t="s">
        <v>48</v>
      </c>
      <c r="C14" s="9" t="s">
        <v>35</v>
      </c>
      <c r="D14" s="10">
        <v>45002.490034722221</v>
      </c>
      <c r="E14" s="9" t="s">
        <v>50</v>
      </c>
      <c r="F14" s="9" t="s">
        <v>51</v>
      </c>
      <c r="G14" s="9" t="s">
        <v>45</v>
      </c>
      <c r="H14" s="11" t="s">
        <v>52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7">
        <v>12</v>
      </c>
      <c r="R14">
        <f t="shared" si="5"/>
        <v>1</v>
      </c>
    </row>
    <row r="15" spans="1:18" x14ac:dyDescent="0.3">
      <c r="A15" s="8" t="s">
        <v>76</v>
      </c>
      <c r="B15" s="9" t="s">
        <v>77</v>
      </c>
      <c r="C15" s="9" t="s">
        <v>49</v>
      </c>
      <c r="D15" s="10">
        <v>45078.417256944442</v>
      </c>
      <c r="E15" s="9" t="s">
        <v>78</v>
      </c>
      <c r="F15" s="9" t="s">
        <v>58</v>
      </c>
      <c r="G15" s="9" t="s">
        <v>31</v>
      </c>
      <c r="H15" s="11" t="s">
        <v>79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7">
        <v>13</v>
      </c>
      <c r="R15">
        <f t="shared" si="5"/>
        <v>1</v>
      </c>
    </row>
    <row r="16" spans="1:18" x14ac:dyDescent="0.3">
      <c r="A16" s="8" t="s">
        <v>80</v>
      </c>
      <c r="B16" s="9" t="s">
        <v>81</v>
      </c>
      <c r="C16" s="9" t="s">
        <v>49</v>
      </c>
      <c r="D16" s="10">
        <v>45168.729328703703</v>
      </c>
      <c r="E16" s="9" t="s">
        <v>82</v>
      </c>
      <c r="F16" s="9" t="s">
        <v>83</v>
      </c>
      <c r="G16" s="9" t="s">
        <v>31</v>
      </c>
      <c r="H16" s="11" t="s">
        <v>84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7">
        <v>14</v>
      </c>
      <c r="R16">
        <f t="shared" si="5"/>
        <v>1</v>
      </c>
    </row>
    <row r="17" spans="1:18" x14ac:dyDescent="0.3">
      <c r="A17" s="8" t="s">
        <v>85</v>
      </c>
      <c r="B17" s="9" t="s">
        <v>27</v>
      </c>
      <c r="C17" s="9" t="s">
        <v>42</v>
      </c>
      <c r="D17" s="10">
        <v>45218.319780092592</v>
      </c>
      <c r="E17" s="9" t="s">
        <v>29</v>
      </c>
      <c r="F17" s="9" t="s">
        <v>30</v>
      </c>
      <c r="G17" s="9" t="s">
        <v>86</v>
      </c>
      <c r="H17" s="11" t="s">
        <v>32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7">
        <v>15</v>
      </c>
      <c r="R17">
        <f t="shared" si="5"/>
        <v>1</v>
      </c>
    </row>
    <row r="18" spans="1:18" x14ac:dyDescent="0.3">
      <c r="A18" s="8" t="s">
        <v>87</v>
      </c>
      <c r="B18" s="9" t="s">
        <v>41</v>
      </c>
      <c r="C18" s="9" t="s">
        <v>35</v>
      </c>
      <c r="D18" s="10">
        <v>45350.719236111108</v>
      </c>
      <c r="E18" s="9" t="s">
        <v>43</v>
      </c>
      <c r="F18" s="9" t="s">
        <v>44</v>
      </c>
      <c r="G18" s="9" t="s">
        <v>45</v>
      </c>
      <c r="H18" s="11" t="s">
        <v>46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7">
        <v>16</v>
      </c>
      <c r="R18">
        <f t="shared" si="5"/>
        <v>1</v>
      </c>
    </row>
    <row r="19" spans="1:18" x14ac:dyDescent="0.3">
      <c r="A19" s="8" t="s">
        <v>88</v>
      </c>
      <c r="B19" s="9" t="s">
        <v>89</v>
      </c>
      <c r="C19" s="9" t="s">
        <v>42</v>
      </c>
      <c r="D19" s="10">
        <v>45418.726354166669</v>
      </c>
      <c r="E19" s="9" t="s">
        <v>90</v>
      </c>
      <c r="F19" s="9" t="s">
        <v>83</v>
      </c>
      <c r="G19" s="9" t="s">
        <v>91</v>
      </c>
      <c r="H19" s="11" t="s">
        <v>92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7">
        <v>17</v>
      </c>
      <c r="R19">
        <f t="shared" si="5"/>
        <v>7</v>
      </c>
    </row>
    <row r="20" spans="1:18" x14ac:dyDescent="0.3">
      <c r="A20" s="8" t="s">
        <v>93</v>
      </c>
      <c r="B20" s="9" t="s">
        <v>41</v>
      </c>
      <c r="C20" s="9" t="s">
        <v>49</v>
      </c>
      <c r="D20" s="10">
        <v>45496.291701388887</v>
      </c>
      <c r="E20" s="9" t="s">
        <v>43</v>
      </c>
      <c r="F20" s="9" t="s">
        <v>44</v>
      </c>
      <c r="G20" s="9" t="s">
        <v>45</v>
      </c>
      <c r="H20" s="11" t="s">
        <v>46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7">
        <v>18</v>
      </c>
      <c r="R20">
        <f t="shared" si="5"/>
        <v>0</v>
      </c>
    </row>
    <row r="21" spans="1:18" ht="15" thickBot="1" x14ac:dyDescent="0.35">
      <c r="A21" s="8" t="s">
        <v>94</v>
      </c>
      <c r="B21" s="14" t="s">
        <v>41</v>
      </c>
      <c r="C21" s="14" t="s">
        <v>49</v>
      </c>
      <c r="D21" s="15">
        <v>45422.739884259259</v>
      </c>
      <c r="E21" s="14" t="s">
        <v>43</v>
      </c>
      <c r="F21" s="14" t="s">
        <v>44</v>
      </c>
      <c r="G21" s="14" t="s">
        <v>91</v>
      </c>
      <c r="H21" s="16" t="s">
        <v>46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7">
        <v>19</v>
      </c>
      <c r="R21">
        <f t="shared" si="5"/>
        <v>0</v>
      </c>
    </row>
    <row r="22" spans="1:18" x14ac:dyDescent="0.3">
      <c r="Q22" s="17">
        <v>20</v>
      </c>
      <c r="R22">
        <f t="shared" si="5"/>
        <v>0</v>
      </c>
    </row>
    <row r="23" spans="1:18" x14ac:dyDescent="0.3">
      <c r="Q23" s="17">
        <v>21</v>
      </c>
      <c r="R23">
        <f t="shared" si="5"/>
        <v>0</v>
      </c>
    </row>
    <row r="24" spans="1:18" x14ac:dyDescent="0.3">
      <c r="Q24" s="17">
        <v>22</v>
      </c>
      <c r="R24">
        <f t="shared" si="5"/>
        <v>0</v>
      </c>
    </row>
    <row r="25" spans="1:18" x14ac:dyDescent="0.3">
      <c r="Q25" s="17">
        <v>23</v>
      </c>
      <c r="R25">
        <f t="shared" si="5"/>
        <v>0</v>
      </c>
    </row>
    <row r="26" spans="1:18" x14ac:dyDescent="0.3">
      <c r="Q26" s="17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2026-03-14T04:46:54Z</dcterms:created>
  <dcterms:modified xsi:type="dcterms:W3CDTF">2026-03-15T08:46:13Z</dcterms:modified>
</cp:coreProperties>
</file>