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30_Days_Excel\"/>
    </mc:Choice>
  </mc:AlternateContent>
  <xr:revisionPtr revIDLastSave="0" documentId="13_ncr:1_{1FEE62AD-F152-4C3E-8DEC-84A3FA4B10FC}" xr6:coauthVersionLast="47" xr6:coauthVersionMax="47" xr10:uidLastSave="{00000000-0000-0000-0000-000000000000}"/>
  <bookViews>
    <workbookView xWindow="-108" yWindow="-108" windowWidth="23256" windowHeight="12456" activeTab="2" xr2:uid="{E8AEC2CD-2424-4959-AD65-BD24BDFEA33C}"/>
  </bookViews>
  <sheets>
    <sheet name="Data" sheetId="2" r:id="rId1"/>
    <sheet name="Final" sheetId="1" r:id="rId2"/>
    <sheet name="Erro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2" i="2" l="1"/>
  <c r="L12" i="2"/>
  <c r="O12" i="2" s="1"/>
  <c r="K12" i="2"/>
  <c r="H12" i="2"/>
  <c r="I12" i="2" s="1"/>
  <c r="J12" i="2" s="1"/>
  <c r="G12" i="2"/>
  <c r="F12" i="2"/>
  <c r="M11" i="2"/>
  <c r="L11" i="2"/>
  <c r="O11" i="2" s="1"/>
  <c r="K11" i="2"/>
  <c r="H11" i="2"/>
  <c r="I11" i="2" s="1"/>
  <c r="J11" i="2" s="1"/>
  <c r="G11" i="2"/>
  <c r="F11" i="2"/>
  <c r="M10" i="2"/>
  <c r="L10" i="2"/>
  <c r="O10" i="2" s="1"/>
  <c r="K10" i="2"/>
  <c r="H10" i="2"/>
  <c r="I10" i="2" s="1"/>
  <c r="G10" i="2"/>
  <c r="F10" i="2"/>
  <c r="L9" i="2"/>
  <c r="K9" i="2"/>
  <c r="H9" i="2"/>
  <c r="I9" i="2" s="1"/>
  <c r="G9" i="2"/>
  <c r="M9" i="2" s="1"/>
  <c r="F9" i="2"/>
  <c r="M8" i="2"/>
  <c r="L8" i="2"/>
  <c r="O8" i="2" s="1"/>
  <c r="K8" i="2"/>
  <c r="H8" i="2"/>
  <c r="I8" i="2" s="1"/>
  <c r="J8" i="2" s="1"/>
  <c r="G8" i="2"/>
  <c r="F8" i="2"/>
  <c r="M7" i="2"/>
  <c r="L7" i="2"/>
  <c r="N7" i="2" s="1"/>
  <c r="K7" i="2"/>
  <c r="H7" i="2"/>
  <c r="I7" i="2" s="1"/>
  <c r="J7" i="2" s="1"/>
  <c r="G7" i="2"/>
  <c r="F7" i="2"/>
  <c r="M6" i="2"/>
  <c r="L6" i="2"/>
  <c r="N6" i="2" s="1"/>
  <c r="K6" i="2"/>
  <c r="H6" i="2"/>
  <c r="I6" i="2" s="1"/>
  <c r="G6" i="2"/>
  <c r="J6" i="2" s="1"/>
  <c r="F6" i="2"/>
  <c r="L5" i="2"/>
  <c r="K5" i="2"/>
  <c r="H5" i="2"/>
  <c r="I5" i="2" s="1"/>
  <c r="G5" i="2"/>
  <c r="M5" i="2" s="1"/>
  <c r="F5" i="2"/>
  <c r="M4" i="2"/>
  <c r="L4" i="2"/>
  <c r="O4" i="2" s="1"/>
  <c r="K4" i="2"/>
  <c r="H4" i="2"/>
  <c r="I4" i="2" s="1"/>
  <c r="J4" i="2" s="1"/>
  <c r="G4" i="2"/>
  <c r="F4" i="2"/>
  <c r="M3" i="2"/>
  <c r="L3" i="2"/>
  <c r="N3" i="2" s="1"/>
  <c r="K3" i="2"/>
  <c r="H3" i="2"/>
  <c r="I3" i="2" s="1"/>
  <c r="J3" i="2" s="1"/>
  <c r="G3" i="2"/>
  <c r="F3" i="2"/>
  <c r="A8" i="3"/>
  <c r="A7" i="3"/>
  <c r="A6" i="3"/>
  <c r="A5" i="3" a="1"/>
  <c r="A5" i="3" s="1"/>
  <c r="A4" i="3"/>
  <c r="A3" i="3"/>
  <c r="A2" i="3"/>
  <c r="D16" i="1"/>
  <c r="D17" i="1"/>
  <c r="C17" i="1"/>
  <c r="C16" i="1"/>
  <c r="D15" i="1"/>
  <c r="C15" i="1"/>
  <c r="D14" i="1"/>
  <c r="E14" i="1"/>
  <c r="C14" i="1"/>
  <c r="D13" i="1"/>
  <c r="E13" i="1"/>
  <c r="C13" i="1"/>
  <c r="L12" i="1"/>
  <c r="K12" i="1"/>
  <c r="H12" i="1"/>
  <c r="I12" i="1" s="1"/>
  <c r="G12" i="1"/>
  <c r="M12" i="1" s="1"/>
  <c r="F12" i="1"/>
  <c r="L11" i="1"/>
  <c r="K11" i="1"/>
  <c r="H11" i="1"/>
  <c r="I11" i="1" s="1"/>
  <c r="G11" i="1"/>
  <c r="M11" i="1" s="1"/>
  <c r="P11" i="1" s="1"/>
  <c r="F11" i="1"/>
  <c r="L10" i="1"/>
  <c r="K10" i="1"/>
  <c r="H10" i="1"/>
  <c r="I10" i="1" s="1"/>
  <c r="G10" i="1"/>
  <c r="M10" i="1" s="1"/>
  <c r="F10" i="1"/>
  <c r="L9" i="1"/>
  <c r="K9" i="1"/>
  <c r="H9" i="1"/>
  <c r="I9" i="1" s="1"/>
  <c r="G9" i="1"/>
  <c r="M9" i="1" s="1"/>
  <c r="F9" i="1"/>
  <c r="L8" i="1"/>
  <c r="K8" i="1"/>
  <c r="H8" i="1"/>
  <c r="I8" i="1" s="1"/>
  <c r="G8" i="1"/>
  <c r="M8" i="1" s="1"/>
  <c r="P8" i="1" s="1"/>
  <c r="F8" i="1"/>
  <c r="L7" i="1"/>
  <c r="K7" i="1"/>
  <c r="H7" i="1"/>
  <c r="I7" i="1" s="1"/>
  <c r="G7" i="1"/>
  <c r="M7" i="1" s="1"/>
  <c r="F7" i="1"/>
  <c r="M6" i="1"/>
  <c r="L6" i="1"/>
  <c r="K6" i="1"/>
  <c r="H6" i="1"/>
  <c r="I6" i="1" s="1"/>
  <c r="G6" i="1"/>
  <c r="F6" i="1"/>
  <c r="L5" i="1"/>
  <c r="K5" i="1"/>
  <c r="H5" i="1"/>
  <c r="I5" i="1" s="1"/>
  <c r="G5" i="1"/>
  <c r="M5" i="1" s="1"/>
  <c r="F5" i="1"/>
  <c r="L4" i="1"/>
  <c r="K4" i="1"/>
  <c r="H4" i="1"/>
  <c r="I4" i="1" s="1"/>
  <c r="G4" i="1"/>
  <c r="M4" i="1" s="1"/>
  <c r="F4" i="1"/>
  <c r="L3" i="1"/>
  <c r="K3" i="1"/>
  <c r="H3" i="1"/>
  <c r="I3" i="1" s="1"/>
  <c r="G3" i="1"/>
  <c r="F3" i="1"/>
  <c r="O9" i="2" l="1"/>
  <c r="N9" i="2"/>
  <c r="O5" i="2"/>
  <c r="N5" i="2"/>
  <c r="J10" i="2"/>
  <c r="N10" i="2"/>
  <c r="O6" i="2"/>
  <c r="J5" i="2"/>
  <c r="O3" i="2"/>
  <c r="O7" i="2"/>
  <c r="N4" i="2"/>
  <c r="N8" i="2"/>
  <c r="N12" i="2"/>
  <c r="J9" i="2"/>
  <c r="N11" i="2"/>
  <c r="P5" i="1"/>
  <c r="J7" i="1"/>
  <c r="F13" i="1"/>
  <c r="K13" i="1"/>
  <c r="O7" i="1"/>
  <c r="P9" i="1"/>
  <c r="O10" i="1"/>
  <c r="G13" i="1"/>
  <c r="I13" i="1"/>
  <c r="M3" i="1"/>
  <c r="O3" i="1" s="1"/>
  <c r="O6" i="1"/>
  <c r="P10" i="1"/>
  <c r="J12" i="1"/>
  <c r="J8" i="1"/>
  <c r="P7" i="1"/>
  <c r="J4" i="1"/>
  <c r="J11" i="1"/>
  <c r="O12" i="1"/>
  <c r="P6" i="1"/>
  <c r="O8" i="1"/>
  <c r="H13" i="1"/>
  <c r="P3" i="1"/>
  <c r="J3" i="1"/>
  <c r="O4" i="1"/>
  <c r="J6" i="1"/>
  <c r="O11" i="1"/>
  <c r="P12" i="1"/>
  <c r="P4" i="1"/>
  <c r="O9" i="1"/>
  <c r="N9" i="1"/>
  <c r="O5" i="1"/>
  <c r="N5" i="1"/>
  <c r="J10" i="1"/>
  <c r="N6" i="1"/>
  <c r="N10" i="1"/>
  <c r="N3" i="1"/>
  <c r="J5" i="1"/>
  <c r="N7" i="1"/>
  <c r="J9" i="1"/>
  <c r="N11" i="1"/>
  <c r="N4" i="1"/>
  <c r="N8" i="1"/>
  <c r="N12" i="1"/>
  <c r="J1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<sst xmlns="http://schemas.openxmlformats.org/spreadsheetml/2006/main" count="83" uniqueCount="49">
  <si>
    <t>Job Title</t>
  </si>
  <si>
    <t xml:space="preserve"> Experience (Years)</t>
  </si>
  <si>
    <t>Annual Salary ($USD)</t>
  </si>
  <si>
    <t>Bonus Max ($USD)</t>
  </si>
  <si>
    <t>Experience (=)</t>
  </si>
  <si>
    <t>Total Salary (+)</t>
  </si>
  <si>
    <t>Bonus Rate (/)</t>
  </si>
  <si>
    <t>Confirm Total Salary</t>
  </si>
  <si>
    <t>Does Total Salary = Confirmed Salary?</t>
  </si>
  <si>
    <t>Is Bonus &gt; Annual Salary?</t>
  </si>
  <si>
    <t>Meets Experience</t>
  </si>
  <si>
    <t>Meets Salary</t>
  </si>
  <si>
    <t>Meets Both (1 or 0)</t>
  </si>
  <si>
    <t>Meets Both - Formula Only</t>
  </si>
  <si>
    <t>Meets Both - AND()</t>
  </si>
  <si>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</si>
  <si>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</si>
  <si>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</si>
  <si>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</si>
  <si>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</si>
  <si>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</si>
  <si>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</si>
  <si>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</si>
  <si>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</si>
  <si>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</si>
  <si>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Goals:</t>
  </si>
  <si>
    <t>Experience (&lt;=)</t>
  </si>
  <si>
    <t>Total Salary (&gt;=)</t>
  </si>
  <si>
    <t>Average (by Cell)</t>
  </si>
  <si>
    <t>Average (AVERAGE())</t>
  </si>
  <si>
    <t>Total Count</t>
  </si>
  <si>
    <t>Meets Goals Count</t>
  </si>
  <si>
    <t>Error Type</t>
  </si>
  <si>
    <t>Formula</t>
  </si>
  <si>
    <t>Description</t>
  </si>
  <si>
    <t>=1/0</t>
  </si>
  <si>
    <t>The formula is trying to divide by zero</t>
  </si>
  <si>
    <t>=B4 + "text"</t>
  </si>
  <si>
    <t>The formula includes an argument of the wrong type</t>
  </si>
  <si>
    <t>=#REF!</t>
  </si>
  <si>
    <t>The formula refers to a cell that isn’t valid (usually deleted cell)</t>
  </si>
  <si>
    <t>=COUNTT(A3:A9)</t>
  </si>
  <si>
    <t>The formula uses a name that Excel doesn’t recognize</t>
  </si>
  <si>
    <t>=VLOOKUP("Value", A1:A10, 2, FALSE)</t>
  </si>
  <si>
    <t>The formula is referring to a cell whose data isn’t available</t>
  </si>
  <si>
    <t>=SQRT(-1)</t>
  </si>
  <si>
    <t>There is a problem with the value in the formula</t>
  </si>
  <si>
    <t>=SUM(A1:A10 B1:B10)</t>
  </si>
  <si>
    <t>The formula is trying to use an intersection of two ranges that don’t intersect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</si>
</sst>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Baskerville Old Face"/>
      <family val="1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5" fillId="0" borderId="0" xfId="0" applyFont="1"/>
    <xf numFmtId="0" fontId="4" fillId="0" borderId="0" xfId="0" applyFont="1"/>
    <xf numFmtId="0" fontId="3" fillId="0" borderId="1" xfId="0" applyFont="1" applyBorder="1"/>
    <xf numFmtId="0" fontId="4" fillId="0" borderId="2" xfId="0" applyFont="1" applyBorder="1"/>
    <xf numFmtId="0" fontId="3" fillId="0" borderId="4" xfId="0" applyFont="1" applyBorder="1"/>
    <xf numFmtId="0" fontId="4" fillId="0" borderId="5" xfId="0" applyFont="1" applyBorder="1"/>
    <xf numFmtId="0" fontId="6" fillId="3" borderId="3" xfId="0" applyFont="1" applyFill="1" applyBorder="1" applyAlignment="1">
      <alignment horizontal="center" vertical="center"/>
    </xf>
    <xf numFmtId="164" fontId="6" fillId="3" borderId="3" xfId="1" applyNumberFormat="1" applyFont="1" applyFill="1" applyBorder="1" applyAlignment="1">
      <alignment horizontal="center" vertical="center"/>
    </xf>
    <xf numFmtId="0" fontId="6" fillId="3" borderId="3" xfId="1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9" fillId="5" borderId="3" xfId="0" applyFont="1" applyFill="1" applyBorder="1"/>
    <xf numFmtId="0" fontId="0" fillId="0" borderId="3" xfId="0" applyBorder="1"/>
    <xf numFmtId="0" fontId="0" fillId="0" borderId="3" xfId="0" quotePrefix="1" applyBorder="1"/>
    <xf numFmtId="0" fontId="0" fillId="0" borderId="3" xfId="0" applyBorder="1" applyAlignment="1">
      <alignment vertical="center" wrapText="1"/>
    </xf>
    <xf numFmtId="0" fontId="3" fillId="6" borderId="1" xfId="0" applyFont="1" applyFill="1" applyBorder="1" applyAlignment="1">
      <alignment horizontal="center" wrapText="1"/>
    </xf>
    <xf numFmtId="0" fontId="3" fillId="6" borderId="6" xfId="0" applyFont="1" applyFill="1" applyBorder="1" applyAlignment="1">
      <alignment horizontal="center" wrapText="1"/>
    </xf>
    <xf numFmtId="0" fontId="3" fillId="6" borderId="2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10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7" xfId="0" applyFont="1" applyBorder="1"/>
    <xf numFmtId="0" fontId="4" fillId="0" borderId="9" xfId="0" applyFont="1" applyBorder="1"/>
    <xf numFmtId="164" fontId="4" fillId="0" borderId="9" xfId="1" applyNumberFormat="1" applyFont="1" applyBorder="1" applyAlignment="1"/>
    <xf numFmtId="0" fontId="4" fillId="0" borderId="9" xfId="1" applyNumberFormat="1" applyFont="1" applyBorder="1" applyAlignment="1"/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3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3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3" fillId="0" borderId="10" xfId="0" applyFont="1" applyBorder="1"/>
    <xf numFmtId="0" fontId="4" fillId="0" borderId="3" xfId="0" applyFont="1" applyBorder="1"/>
    <xf numFmtId="0" fontId="4" fillId="5" borderId="11" xfId="0" applyFont="1" applyFill="1" applyBorder="1"/>
    <xf numFmtId="0" fontId="4" fillId="0" borderId="18" xfId="0" applyFont="1" applyBorder="1"/>
    <xf numFmtId="0" fontId="4" fillId="5" borderId="5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D2A2F-27A3-47D8-9070-A5CCDE5412B6}">
  <dimension ref="B1:X18"/>
  <sheetViews>
    <sheetView workbookViewId="0">
      <selection activeCell="B16" sqref="B16"/>
    </sheetView>
  </sheetViews>
  <sheetFormatPr defaultRowHeight="14.4" x14ac:dyDescent="0.3"/>
  <cols>
    <col min="2" max="2" width="23.109375" bestFit="1" customWidth="1"/>
    <col min="3" max="3" width="8.21875" bestFit="1" customWidth="1"/>
    <col min="4" max="4" width="7" bestFit="1" customWidth="1"/>
    <col min="5" max="5" width="6.88671875" bestFit="1" customWidth="1"/>
    <col min="6" max="6" width="8.21875" bestFit="1" customWidth="1"/>
    <col min="8" max="8" width="7.44140625" bestFit="1" customWidth="1"/>
    <col min="9" max="9" width="7.77734375" bestFit="1" customWidth="1"/>
    <col min="10" max="10" width="8.77734375" bestFit="1" customWidth="1"/>
    <col min="11" max="11" width="8.44140625" bestFit="1" customWidth="1"/>
    <col min="12" max="12" width="8.21875" bestFit="1" customWidth="1"/>
    <col min="13" max="13" width="6.21875" bestFit="1" customWidth="1"/>
    <col min="14" max="14" width="7.109375" bestFit="1" customWidth="1"/>
    <col min="15" max="15" width="7.88671875" bestFit="1" customWidth="1"/>
    <col min="16" max="16" width="6.21875" bestFit="1" customWidth="1"/>
    <col min="18" max="18" width="14.6640625" bestFit="1" customWidth="1"/>
    <col min="19" max="19" width="6" bestFit="1" customWidth="1"/>
  </cols>
  <sheetData>
    <row r="1" spans="2:24" ht="15" thickBot="1" x14ac:dyDescent="0.35"/>
    <row r="2" spans="2:24" ht="72.599999999999994" thickBot="1" x14ac:dyDescent="0.35">
      <c r="B2" s="19" t="s">
        <v>0</v>
      </c>
      <c r="C2" s="20" t="s">
        <v>1</v>
      </c>
      <c r="D2" s="20" t="s">
        <v>2</v>
      </c>
      <c r="E2" s="21" t="s">
        <v>3</v>
      </c>
      <c r="F2" s="22" t="s">
        <v>4</v>
      </c>
      <c r="G2" s="23" t="s">
        <v>5</v>
      </c>
      <c r="H2" s="24" t="s">
        <v>6</v>
      </c>
      <c r="I2" s="24" t="s">
        <v>7</v>
      </c>
      <c r="J2" s="24" t="s">
        <v>8</v>
      </c>
      <c r="K2" s="24" t="s">
        <v>9</v>
      </c>
      <c r="L2" s="24" t="s">
        <v>10</v>
      </c>
      <c r="M2" s="24" t="s">
        <v>11</v>
      </c>
      <c r="N2" s="24" t="s">
        <v>12</v>
      </c>
      <c r="O2" s="24" t="s">
        <v>13</v>
      </c>
      <c r="P2" s="24" t="s">
        <v>14</v>
      </c>
      <c r="Q2" s="25"/>
      <c r="R2" s="1" t="s">
        <v>25</v>
      </c>
      <c r="S2" s="2"/>
      <c r="T2" s="25"/>
      <c r="U2" s="25"/>
      <c r="V2" s="25"/>
      <c r="W2" s="25"/>
      <c r="X2" s="25"/>
    </row>
    <row r="3" spans="2:24" ht="15" thickBot="1" x14ac:dyDescent="0.35">
      <c r="B3" s="26" t="s">
        <v>15</v>
      </c>
      <c r="C3" s="27">
        <v>5</v>
      </c>
      <c r="D3" s="27">
        <v>120000</v>
      </c>
      <c r="E3" s="28">
        <v>10000</v>
      </c>
      <c r="F3" s="29">
        <f>C3</f>
        <v>5</v>
      </c>
      <c r="G3" s="30">
        <f>D3+E3</f>
        <v>130000</v>
      </c>
      <c r="H3" s="31">
        <f>E3/D3</f>
        <v>8.3333333333333329E-2</v>
      </c>
      <c r="I3" s="32">
        <f>D3+D3*H3</f>
        <v>130000</v>
      </c>
      <c r="J3" s="30" t="b">
        <f>G3=I3</f>
        <v>1</v>
      </c>
      <c r="K3" s="30" t="b">
        <f>E3&gt;D3</f>
        <v>0</v>
      </c>
      <c r="L3" s="30" t="b">
        <f t="shared" ref="L3:L12" si="0">$S$3&lt;=C3</f>
        <v>1</v>
      </c>
      <c r="M3" s="30" t="b">
        <f t="shared" ref="M3:M12" si="1">$G3&gt;=$S$4</f>
        <v>1</v>
      </c>
      <c r="N3" s="30">
        <f>L3*M3</f>
        <v>1</v>
      </c>
      <c r="O3" s="30" t="b">
        <f>L3*M3=1</f>
        <v>1</v>
      </c>
      <c r="P3" s="30"/>
      <c r="Q3" s="2"/>
      <c r="R3" s="3" t="s">
        <v>26</v>
      </c>
      <c r="S3" s="4">
        <v>5</v>
      </c>
      <c r="T3" s="2"/>
      <c r="U3" s="2"/>
      <c r="V3" s="2"/>
      <c r="W3" s="2"/>
      <c r="X3" s="2"/>
    </row>
    <row r="4" spans="2:24" ht="15" thickBot="1" x14ac:dyDescent="0.35">
      <c r="B4" s="26" t="s">
        <v>16</v>
      </c>
      <c r="C4" s="27">
        <v>4</v>
      </c>
      <c r="D4" s="27">
        <v>135000</v>
      </c>
      <c r="E4" s="28">
        <v>12000</v>
      </c>
      <c r="F4" s="29">
        <f t="shared" ref="F4:F12" si="2">C4</f>
        <v>4</v>
      </c>
      <c r="G4" s="30">
        <f t="shared" ref="G4:G12" si="3">D4+E4</f>
        <v>147000</v>
      </c>
      <c r="H4" s="31">
        <f t="shared" ref="H4:H12" si="4">E4/D4</f>
        <v>8.8888888888888892E-2</v>
      </c>
      <c r="I4" s="32">
        <f t="shared" ref="I4:I12" si="5">D4+D4*H4</f>
        <v>147000</v>
      </c>
      <c r="J4" s="30" t="b">
        <f t="shared" ref="J4:J12" si="6">G4=I4</f>
        <v>1</v>
      </c>
      <c r="K4" s="30" t="b">
        <f t="shared" ref="K4:K12" si="7">E4&gt;D4</f>
        <v>0</v>
      </c>
      <c r="L4" s="30" t="b">
        <f t="shared" si="0"/>
        <v>0</v>
      </c>
      <c r="M4" s="30" t="b">
        <f t="shared" si="1"/>
        <v>1</v>
      </c>
      <c r="N4" s="30">
        <f t="shared" ref="N4:N12" si="8">L4*M4</f>
        <v>0</v>
      </c>
      <c r="O4" s="30" t="b">
        <f t="shared" ref="O4:O12" si="9">L4*M4=1</f>
        <v>0</v>
      </c>
      <c r="P4" s="30"/>
      <c r="Q4" s="2"/>
      <c r="R4" s="5" t="s">
        <v>27</v>
      </c>
      <c r="S4" s="6">
        <v>90000</v>
      </c>
      <c r="T4" s="2"/>
      <c r="U4" s="2"/>
      <c r="V4" s="2"/>
      <c r="W4" s="2"/>
      <c r="X4" s="2"/>
    </row>
    <row r="5" spans="2:24" ht="15" thickBot="1" x14ac:dyDescent="0.35">
      <c r="B5" s="26" t="s">
        <v>17</v>
      </c>
      <c r="C5" s="27">
        <v>2</v>
      </c>
      <c r="D5" s="27">
        <v>75000</v>
      </c>
      <c r="E5" s="28">
        <v>5000</v>
      </c>
      <c r="F5" s="29">
        <f t="shared" si="2"/>
        <v>2</v>
      </c>
      <c r="G5" s="30">
        <f t="shared" si="3"/>
        <v>80000</v>
      </c>
      <c r="H5" s="31">
        <f t="shared" si="4"/>
        <v>6.6666666666666666E-2</v>
      </c>
      <c r="I5" s="32">
        <f t="shared" si="5"/>
        <v>80000</v>
      </c>
      <c r="J5" s="30" t="b">
        <f t="shared" si="6"/>
        <v>1</v>
      </c>
      <c r="K5" s="30" t="b">
        <f t="shared" si="7"/>
        <v>0</v>
      </c>
      <c r="L5" s="30" t="b">
        <f t="shared" si="0"/>
        <v>0</v>
      </c>
      <c r="M5" s="30" t="b">
        <f t="shared" si="1"/>
        <v>0</v>
      </c>
      <c r="N5" s="30">
        <f t="shared" si="8"/>
        <v>0</v>
      </c>
      <c r="O5" s="30" t="b">
        <f t="shared" si="9"/>
        <v>0</v>
      </c>
      <c r="P5" s="30"/>
      <c r="Q5" s="2"/>
      <c r="R5" s="2"/>
      <c r="S5" s="2"/>
      <c r="T5" s="2"/>
      <c r="U5" s="2"/>
      <c r="V5" s="2"/>
      <c r="W5" s="2"/>
      <c r="X5" s="2"/>
    </row>
    <row r="6" spans="2:24" ht="15" thickBot="1" x14ac:dyDescent="0.35">
      <c r="B6" s="26" t="s">
        <v>18</v>
      </c>
      <c r="C6" s="27">
        <v>6</v>
      </c>
      <c r="D6" s="27">
        <v>110000</v>
      </c>
      <c r="E6" s="28">
        <v>8000</v>
      </c>
      <c r="F6" s="29">
        <f t="shared" si="2"/>
        <v>6</v>
      </c>
      <c r="G6" s="30">
        <f t="shared" si="3"/>
        <v>118000</v>
      </c>
      <c r="H6" s="31">
        <f t="shared" si="4"/>
        <v>7.2727272727272724E-2</v>
      </c>
      <c r="I6" s="32">
        <f t="shared" si="5"/>
        <v>118000</v>
      </c>
      <c r="J6" s="30" t="b">
        <f t="shared" si="6"/>
        <v>1</v>
      </c>
      <c r="K6" s="30" t="b">
        <f t="shared" si="7"/>
        <v>0</v>
      </c>
      <c r="L6" s="30" t="b">
        <f t="shared" si="0"/>
        <v>1</v>
      </c>
      <c r="M6" s="30" t="b">
        <f t="shared" si="1"/>
        <v>1</v>
      </c>
      <c r="N6" s="30">
        <f t="shared" si="8"/>
        <v>1</v>
      </c>
      <c r="O6" s="30" t="b">
        <f t="shared" si="9"/>
        <v>1</v>
      </c>
      <c r="P6" s="30"/>
      <c r="Q6" s="2"/>
      <c r="R6" s="2"/>
      <c r="S6" s="2"/>
      <c r="T6" s="2"/>
      <c r="U6" s="2"/>
      <c r="V6" s="2"/>
      <c r="W6" s="2"/>
      <c r="X6" s="2"/>
    </row>
    <row r="7" spans="2:24" ht="15" thickBot="1" x14ac:dyDescent="0.35">
      <c r="B7" s="26" t="s">
        <v>19</v>
      </c>
      <c r="C7" s="27">
        <v>3</v>
      </c>
      <c r="D7" s="27">
        <v>125000</v>
      </c>
      <c r="E7" s="28">
        <v>11000</v>
      </c>
      <c r="F7" s="29">
        <f t="shared" si="2"/>
        <v>3</v>
      </c>
      <c r="G7" s="30">
        <f t="shared" si="3"/>
        <v>136000</v>
      </c>
      <c r="H7" s="31">
        <f t="shared" si="4"/>
        <v>8.7999999999999995E-2</v>
      </c>
      <c r="I7" s="32">
        <f t="shared" si="5"/>
        <v>136000</v>
      </c>
      <c r="J7" s="30" t="b">
        <f t="shared" si="6"/>
        <v>1</v>
      </c>
      <c r="K7" s="30" t="b">
        <f t="shared" si="7"/>
        <v>0</v>
      </c>
      <c r="L7" s="30" t="b">
        <f t="shared" si="0"/>
        <v>0</v>
      </c>
      <c r="M7" s="30" t="b">
        <f t="shared" si="1"/>
        <v>1</v>
      </c>
      <c r="N7" s="30">
        <f t="shared" si="8"/>
        <v>0</v>
      </c>
      <c r="O7" s="30" t="b">
        <f t="shared" si="9"/>
        <v>0</v>
      </c>
      <c r="P7" s="30"/>
      <c r="Q7" s="2"/>
      <c r="R7" s="2"/>
      <c r="S7" s="2"/>
      <c r="T7" s="2"/>
      <c r="U7" s="2"/>
      <c r="V7" s="2"/>
      <c r="W7" s="2"/>
      <c r="X7" s="2"/>
    </row>
    <row r="8" spans="2:24" ht="15" thickBot="1" x14ac:dyDescent="0.35">
      <c r="B8" s="26" t="s">
        <v>20</v>
      </c>
      <c r="C8" s="27">
        <v>7</v>
      </c>
      <c r="D8" s="27">
        <v>90000</v>
      </c>
      <c r="E8" s="28">
        <v>7000</v>
      </c>
      <c r="F8" s="29">
        <f t="shared" si="2"/>
        <v>7</v>
      </c>
      <c r="G8" s="30">
        <f t="shared" si="3"/>
        <v>97000</v>
      </c>
      <c r="H8" s="31">
        <f t="shared" si="4"/>
        <v>7.7777777777777779E-2</v>
      </c>
      <c r="I8" s="32">
        <f t="shared" si="5"/>
        <v>97000</v>
      </c>
      <c r="J8" s="30" t="b">
        <f t="shared" si="6"/>
        <v>1</v>
      </c>
      <c r="K8" s="30" t="b">
        <f t="shared" si="7"/>
        <v>0</v>
      </c>
      <c r="L8" s="30" t="b">
        <f t="shared" si="0"/>
        <v>1</v>
      </c>
      <c r="M8" s="30" t="b">
        <f t="shared" si="1"/>
        <v>1</v>
      </c>
      <c r="N8" s="30">
        <f t="shared" si="8"/>
        <v>1</v>
      </c>
      <c r="O8" s="30" t="b">
        <f t="shared" si="9"/>
        <v>1</v>
      </c>
      <c r="P8" s="30"/>
      <c r="Q8" s="2"/>
      <c r="R8" s="2"/>
      <c r="S8" s="2"/>
      <c r="T8" s="2"/>
      <c r="U8" s="2"/>
      <c r="V8" s="2"/>
      <c r="W8" s="2"/>
      <c r="X8" s="2"/>
    </row>
    <row r="9" spans="2:24" ht="15" thickBot="1" x14ac:dyDescent="0.35">
      <c r="B9" s="26" t="s">
        <v>21</v>
      </c>
      <c r="C9" s="27">
        <v>10</v>
      </c>
      <c r="D9" s="27">
        <v>150000</v>
      </c>
      <c r="E9" s="28">
        <v>15000</v>
      </c>
      <c r="F9" s="29">
        <f t="shared" si="2"/>
        <v>10</v>
      </c>
      <c r="G9" s="30">
        <f t="shared" si="3"/>
        <v>165000</v>
      </c>
      <c r="H9" s="31">
        <f t="shared" si="4"/>
        <v>0.1</v>
      </c>
      <c r="I9" s="32">
        <f t="shared" si="5"/>
        <v>165000</v>
      </c>
      <c r="J9" s="30" t="b">
        <f t="shared" si="6"/>
        <v>1</v>
      </c>
      <c r="K9" s="30" t="b">
        <f t="shared" si="7"/>
        <v>0</v>
      </c>
      <c r="L9" s="30" t="b">
        <f t="shared" si="0"/>
        <v>1</v>
      </c>
      <c r="M9" s="30" t="b">
        <f t="shared" si="1"/>
        <v>1</v>
      </c>
      <c r="N9" s="30">
        <f t="shared" si="8"/>
        <v>1</v>
      </c>
      <c r="O9" s="30" t="b">
        <f t="shared" si="9"/>
        <v>1</v>
      </c>
      <c r="P9" s="30"/>
      <c r="Q9" s="2"/>
      <c r="R9" s="2"/>
      <c r="S9" s="2"/>
      <c r="T9" s="2"/>
      <c r="U9" s="2"/>
      <c r="V9" s="2"/>
      <c r="W9" s="2"/>
      <c r="X9" s="2"/>
    </row>
    <row r="10" spans="2:24" ht="15" thickBot="1" x14ac:dyDescent="0.35">
      <c r="B10" s="26" t="s">
        <v>22</v>
      </c>
      <c r="C10" s="27">
        <v>8</v>
      </c>
      <c r="D10" s="27">
        <v>130000</v>
      </c>
      <c r="E10" s="28">
        <v>13000</v>
      </c>
      <c r="F10" s="29">
        <f t="shared" si="2"/>
        <v>8</v>
      </c>
      <c r="G10" s="30">
        <f t="shared" si="3"/>
        <v>143000</v>
      </c>
      <c r="H10" s="31">
        <f t="shared" si="4"/>
        <v>0.1</v>
      </c>
      <c r="I10" s="32">
        <f t="shared" si="5"/>
        <v>143000</v>
      </c>
      <c r="J10" s="30" t="b">
        <f t="shared" si="6"/>
        <v>1</v>
      </c>
      <c r="K10" s="30" t="b">
        <f t="shared" si="7"/>
        <v>0</v>
      </c>
      <c r="L10" s="30" t="b">
        <f t="shared" si="0"/>
        <v>1</v>
      </c>
      <c r="M10" s="30" t="b">
        <f t="shared" si="1"/>
        <v>1</v>
      </c>
      <c r="N10" s="30">
        <f t="shared" si="8"/>
        <v>1</v>
      </c>
      <c r="O10" s="30" t="b">
        <f t="shared" si="9"/>
        <v>1</v>
      </c>
      <c r="P10" s="30"/>
      <c r="Q10" s="2"/>
      <c r="R10" s="2"/>
      <c r="S10" s="2"/>
      <c r="T10" s="2"/>
      <c r="U10" s="2"/>
      <c r="V10" s="2"/>
      <c r="W10" s="2"/>
      <c r="X10" s="2"/>
    </row>
    <row r="11" spans="2:24" ht="15" thickBot="1" x14ac:dyDescent="0.35">
      <c r="B11" s="26" t="s">
        <v>23</v>
      </c>
      <c r="C11" s="27">
        <v>3</v>
      </c>
      <c r="D11" s="27">
        <v>140000</v>
      </c>
      <c r="E11" s="28">
        <v>14000</v>
      </c>
      <c r="F11" s="29">
        <f t="shared" si="2"/>
        <v>3</v>
      </c>
      <c r="G11" s="30">
        <f t="shared" si="3"/>
        <v>154000</v>
      </c>
      <c r="H11" s="31">
        <f t="shared" si="4"/>
        <v>0.1</v>
      </c>
      <c r="I11" s="32">
        <f t="shared" si="5"/>
        <v>154000</v>
      </c>
      <c r="J11" s="30" t="b">
        <f t="shared" si="6"/>
        <v>1</v>
      </c>
      <c r="K11" s="30" t="b">
        <f t="shared" si="7"/>
        <v>0</v>
      </c>
      <c r="L11" s="30" t="b">
        <f t="shared" si="0"/>
        <v>0</v>
      </c>
      <c r="M11" s="30" t="b">
        <f t="shared" si="1"/>
        <v>1</v>
      </c>
      <c r="N11" s="30">
        <f t="shared" si="8"/>
        <v>0</v>
      </c>
      <c r="O11" s="30" t="b">
        <f t="shared" si="9"/>
        <v>0</v>
      </c>
      <c r="P11" s="30"/>
      <c r="Q11" s="2"/>
      <c r="R11" s="2"/>
      <c r="S11" s="2"/>
      <c r="T11" s="2"/>
      <c r="U11" s="2"/>
      <c r="V11" s="2"/>
      <c r="W11" s="2"/>
      <c r="X11" s="2"/>
    </row>
    <row r="12" spans="2:24" ht="15" thickBot="1" x14ac:dyDescent="0.35">
      <c r="B12" s="33" t="s">
        <v>24</v>
      </c>
      <c r="C12" s="34">
        <v>5</v>
      </c>
      <c r="D12" s="34">
        <v>115000</v>
      </c>
      <c r="E12" s="35">
        <v>9000</v>
      </c>
      <c r="F12" s="29">
        <f t="shared" si="2"/>
        <v>5</v>
      </c>
      <c r="G12" s="30">
        <f t="shared" si="3"/>
        <v>124000</v>
      </c>
      <c r="H12" s="31">
        <f t="shared" si="4"/>
        <v>7.8260869565217397E-2</v>
      </c>
      <c r="I12" s="32">
        <f t="shared" si="5"/>
        <v>124000</v>
      </c>
      <c r="J12" s="30" t="b">
        <f t="shared" si="6"/>
        <v>1</v>
      </c>
      <c r="K12" s="30" t="b">
        <f t="shared" si="7"/>
        <v>0</v>
      </c>
      <c r="L12" s="30" t="b">
        <f t="shared" si="0"/>
        <v>1</v>
      </c>
      <c r="M12" s="30" t="b">
        <f t="shared" si="1"/>
        <v>1</v>
      </c>
      <c r="N12" s="30">
        <f t="shared" si="8"/>
        <v>1</v>
      </c>
      <c r="O12" s="30" t="b">
        <f t="shared" si="9"/>
        <v>1</v>
      </c>
      <c r="P12" s="30"/>
      <c r="Q12" s="2"/>
      <c r="R12" s="2"/>
      <c r="S12" s="2"/>
      <c r="T12" s="2"/>
      <c r="U12" s="2"/>
      <c r="V12" s="2"/>
      <c r="W12" s="2"/>
      <c r="X12" s="2"/>
    </row>
    <row r="13" spans="2:24" ht="15" thickTop="1" x14ac:dyDescent="0.3">
      <c r="B13" s="36" t="s">
        <v>28</v>
      </c>
      <c r="C13" s="37"/>
      <c r="D13" s="37"/>
      <c r="E13" s="38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2:24" ht="15" thickBot="1" x14ac:dyDescent="0.35">
      <c r="B14" s="39" t="s">
        <v>29</v>
      </c>
      <c r="C14" s="40"/>
      <c r="D14" s="40"/>
      <c r="E14" s="41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2:24" ht="15" thickTop="1" x14ac:dyDescent="0.3">
      <c r="B15" s="36" t="s">
        <v>30</v>
      </c>
      <c r="C15" s="37"/>
      <c r="D15" s="37"/>
      <c r="E15" s="38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2:24" x14ac:dyDescent="0.3">
      <c r="B16" s="42" t="s">
        <v>31</v>
      </c>
      <c r="C16" s="43"/>
      <c r="D16" s="43"/>
      <c r="E16" s="4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2:24" ht="15" thickBot="1" x14ac:dyDescent="0.35">
      <c r="B17" s="5" t="s">
        <v>31</v>
      </c>
      <c r="C17" s="45"/>
      <c r="D17" s="45"/>
      <c r="E17" s="46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2:24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D5B6C-8DC8-421F-9955-107C7F342C44}">
  <dimension ref="B2:V17"/>
  <sheetViews>
    <sheetView workbookViewId="0">
      <selection activeCell="R8" sqref="R8"/>
    </sheetView>
  </sheetViews>
  <sheetFormatPr defaultRowHeight="14.4" x14ac:dyDescent="0.3"/>
  <cols>
    <col min="2" max="2" width="23.109375" bestFit="1" customWidth="1"/>
    <col min="3" max="3" width="11.77734375" customWidth="1"/>
    <col min="4" max="4" width="13.77734375" customWidth="1"/>
    <col min="5" max="5" width="12.77734375" customWidth="1"/>
    <col min="6" max="6" width="8.21875" hidden="1" customWidth="1"/>
    <col min="7" max="7" width="8.88671875" hidden="1" customWidth="1"/>
    <col min="8" max="8" width="7.44140625" hidden="1" customWidth="1"/>
    <col min="9" max="9" width="7.77734375" hidden="1" customWidth="1"/>
    <col min="10" max="10" width="8.77734375" hidden="1" customWidth="1"/>
    <col min="11" max="11" width="8.44140625" hidden="1" customWidth="1"/>
    <col min="12" max="12" width="14.21875" customWidth="1"/>
    <col min="13" max="13" width="17.5546875" customWidth="1"/>
    <col min="14" max="14" width="5.77734375" hidden="1" customWidth="1"/>
    <col min="15" max="15" width="19.77734375" customWidth="1"/>
    <col min="16" max="16" width="15.109375" customWidth="1"/>
    <col min="21" max="21" width="14.6640625" bestFit="1" customWidth="1"/>
  </cols>
  <sheetData>
    <row r="2" spans="2:22" ht="86.4" x14ac:dyDescent="0.3"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  <c r="J2" s="10" t="s">
        <v>8</v>
      </c>
      <c r="K2" s="10" t="s">
        <v>9</v>
      </c>
      <c r="L2" s="10" t="s">
        <v>10</v>
      </c>
      <c r="M2" s="10" t="s">
        <v>11</v>
      </c>
      <c r="N2" s="10" t="s">
        <v>12</v>
      </c>
      <c r="O2" s="10" t="s">
        <v>13</v>
      </c>
      <c r="P2" s="10" t="s">
        <v>14</v>
      </c>
    </row>
    <row r="3" spans="2:22" ht="15" thickBot="1" x14ac:dyDescent="0.35">
      <c r="B3" s="7" t="s">
        <v>15</v>
      </c>
      <c r="C3" s="7">
        <v>5</v>
      </c>
      <c r="D3" s="7">
        <v>120000</v>
      </c>
      <c r="E3" s="7">
        <v>10000</v>
      </c>
      <c r="F3" s="7">
        <f>C3</f>
        <v>5</v>
      </c>
      <c r="G3" s="7">
        <f>D3+E3</f>
        <v>130000</v>
      </c>
      <c r="H3" s="8">
        <f>E3/D3</f>
        <v>8.3333333333333329E-2</v>
      </c>
      <c r="I3" s="9">
        <f>D3+D3*H3</f>
        <v>130000</v>
      </c>
      <c r="J3" s="7" t="b">
        <f>G3=I3</f>
        <v>1</v>
      </c>
      <c r="K3" s="7" t="b">
        <f>E3&gt;D3</f>
        <v>0</v>
      </c>
      <c r="L3" s="7" t="b">
        <f t="shared" ref="L3:L12" si="0">$S$3&lt;=C3</f>
        <v>1</v>
      </c>
      <c r="M3" s="7" t="b">
        <f t="shared" ref="M3:M12" si="1">$G3&gt;=$S$4</f>
        <v>1</v>
      </c>
      <c r="N3" s="7">
        <f>L3*M3</f>
        <v>1</v>
      </c>
      <c r="O3" s="7" t="b">
        <f>L3*M3=1</f>
        <v>1</v>
      </c>
      <c r="P3" s="7" t="b">
        <f>AND(L3,M3)</f>
        <v>1</v>
      </c>
      <c r="U3" s="1" t="s">
        <v>25</v>
      </c>
      <c r="V3" s="2"/>
    </row>
    <row r="4" spans="2:22" x14ac:dyDescent="0.3">
      <c r="B4" s="7" t="s">
        <v>16</v>
      </c>
      <c r="C4" s="7">
        <v>4</v>
      </c>
      <c r="D4" s="7">
        <v>135000</v>
      </c>
      <c r="E4" s="7">
        <v>12000</v>
      </c>
      <c r="F4" s="7">
        <f t="shared" ref="F4:F12" si="2">C4</f>
        <v>4</v>
      </c>
      <c r="G4" s="7">
        <f t="shared" ref="G4:G12" si="3">D4+E4</f>
        <v>147000</v>
      </c>
      <c r="H4" s="8">
        <f t="shared" ref="H4:H12" si="4">E4/D4</f>
        <v>8.8888888888888892E-2</v>
      </c>
      <c r="I4" s="9">
        <f t="shared" ref="I4:I12" si="5">D4+D4*H4</f>
        <v>147000</v>
      </c>
      <c r="J4" s="7" t="b">
        <f t="shared" ref="J4:J12" si="6">G4=I4</f>
        <v>1</v>
      </c>
      <c r="K4" s="7" t="b">
        <f t="shared" ref="K4:K12" si="7">E4&gt;D4</f>
        <v>0</v>
      </c>
      <c r="L4" s="7" t="b">
        <f t="shared" si="0"/>
        <v>1</v>
      </c>
      <c r="M4" s="7" t="b">
        <f t="shared" si="1"/>
        <v>1</v>
      </c>
      <c r="N4" s="7">
        <f t="shared" ref="N4:N12" si="8">L4*M4</f>
        <v>1</v>
      </c>
      <c r="O4" s="7" t="b">
        <f t="shared" ref="O4:O12" si="9">L4*M4=1</f>
        <v>1</v>
      </c>
      <c r="P4" s="7" t="b">
        <f t="shared" ref="P4:P12" si="10">AND(L4,M4)</f>
        <v>1</v>
      </c>
      <c r="U4" s="3" t="s">
        <v>26</v>
      </c>
      <c r="V4" s="4">
        <v>5</v>
      </c>
    </row>
    <row r="5" spans="2:22" ht="15" thickBot="1" x14ac:dyDescent="0.35">
      <c r="B5" s="7" t="s">
        <v>17</v>
      </c>
      <c r="C5" s="7">
        <v>2</v>
      </c>
      <c r="D5" s="7">
        <v>75000</v>
      </c>
      <c r="E5" s="7">
        <v>5000</v>
      </c>
      <c r="F5" s="7">
        <f t="shared" si="2"/>
        <v>2</v>
      </c>
      <c r="G5" s="7">
        <f t="shared" si="3"/>
        <v>80000</v>
      </c>
      <c r="H5" s="8">
        <f t="shared" si="4"/>
        <v>6.6666666666666666E-2</v>
      </c>
      <c r="I5" s="9">
        <f t="shared" si="5"/>
        <v>80000</v>
      </c>
      <c r="J5" s="7" t="b">
        <f t="shared" si="6"/>
        <v>1</v>
      </c>
      <c r="K5" s="7" t="b">
        <f t="shared" si="7"/>
        <v>0</v>
      </c>
      <c r="L5" s="7" t="b">
        <f t="shared" si="0"/>
        <v>1</v>
      </c>
      <c r="M5" s="7" t="b">
        <f t="shared" si="1"/>
        <v>1</v>
      </c>
      <c r="N5" s="7">
        <f t="shared" si="8"/>
        <v>1</v>
      </c>
      <c r="O5" s="7" t="b">
        <f t="shared" si="9"/>
        <v>1</v>
      </c>
      <c r="P5" s="7" t="b">
        <f t="shared" si="10"/>
        <v>1</v>
      </c>
      <c r="U5" s="5" t="s">
        <v>27</v>
      </c>
      <c r="V5" s="6">
        <v>90000</v>
      </c>
    </row>
    <row r="6" spans="2:22" x14ac:dyDescent="0.3">
      <c r="B6" s="7" t="s">
        <v>18</v>
      </c>
      <c r="C6" s="7">
        <v>6</v>
      </c>
      <c r="D6" s="7">
        <v>110000</v>
      </c>
      <c r="E6" s="7">
        <v>8000</v>
      </c>
      <c r="F6" s="7">
        <f t="shared" si="2"/>
        <v>6</v>
      </c>
      <c r="G6" s="7">
        <f t="shared" si="3"/>
        <v>118000</v>
      </c>
      <c r="H6" s="8">
        <f t="shared" si="4"/>
        <v>7.2727272727272724E-2</v>
      </c>
      <c r="I6" s="9">
        <f t="shared" si="5"/>
        <v>118000</v>
      </c>
      <c r="J6" s="7" t="b">
        <f t="shared" si="6"/>
        <v>1</v>
      </c>
      <c r="K6" s="7" t="b">
        <f t="shared" si="7"/>
        <v>0</v>
      </c>
      <c r="L6" s="7" t="b">
        <f t="shared" si="0"/>
        <v>1</v>
      </c>
      <c r="M6" s="7" t="b">
        <f t="shared" si="1"/>
        <v>1</v>
      </c>
      <c r="N6" s="7">
        <f t="shared" si="8"/>
        <v>1</v>
      </c>
      <c r="O6" s="7" t="b">
        <f t="shared" si="9"/>
        <v>1</v>
      </c>
      <c r="P6" s="7" t="b">
        <f t="shared" si="10"/>
        <v>1</v>
      </c>
    </row>
    <row r="7" spans="2:22" x14ac:dyDescent="0.3">
      <c r="B7" s="7" t="s">
        <v>19</v>
      </c>
      <c r="C7" s="7">
        <v>3</v>
      </c>
      <c r="D7" s="7">
        <v>125000</v>
      </c>
      <c r="E7" s="7">
        <v>11000</v>
      </c>
      <c r="F7" s="7">
        <f t="shared" si="2"/>
        <v>3</v>
      </c>
      <c r="G7" s="7">
        <f t="shared" si="3"/>
        <v>136000</v>
      </c>
      <c r="H7" s="8">
        <f t="shared" si="4"/>
        <v>8.7999999999999995E-2</v>
      </c>
      <c r="I7" s="9">
        <f t="shared" si="5"/>
        <v>136000</v>
      </c>
      <c r="J7" s="7" t="b">
        <f t="shared" si="6"/>
        <v>1</v>
      </c>
      <c r="K7" s="7" t="b">
        <f t="shared" si="7"/>
        <v>0</v>
      </c>
      <c r="L7" s="7" t="b">
        <f t="shared" si="0"/>
        <v>1</v>
      </c>
      <c r="M7" s="7" t="b">
        <f t="shared" si="1"/>
        <v>1</v>
      </c>
      <c r="N7" s="7">
        <f t="shared" si="8"/>
        <v>1</v>
      </c>
      <c r="O7" s="7" t="b">
        <f t="shared" si="9"/>
        <v>1</v>
      </c>
      <c r="P7" s="7" t="b">
        <f t="shared" si="10"/>
        <v>1</v>
      </c>
    </row>
    <row r="8" spans="2:22" x14ac:dyDescent="0.3">
      <c r="B8" s="7" t="s">
        <v>20</v>
      </c>
      <c r="C8" s="7">
        <v>7</v>
      </c>
      <c r="D8" s="7">
        <v>90000</v>
      </c>
      <c r="E8" s="7">
        <v>7000</v>
      </c>
      <c r="F8" s="7">
        <f t="shared" si="2"/>
        <v>7</v>
      </c>
      <c r="G8" s="7">
        <f t="shared" si="3"/>
        <v>97000</v>
      </c>
      <c r="H8" s="8">
        <f t="shared" si="4"/>
        <v>7.7777777777777779E-2</v>
      </c>
      <c r="I8" s="9">
        <f t="shared" si="5"/>
        <v>97000</v>
      </c>
      <c r="J8" s="7" t="b">
        <f t="shared" si="6"/>
        <v>1</v>
      </c>
      <c r="K8" s="7" t="b">
        <f t="shared" si="7"/>
        <v>0</v>
      </c>
      <c r="L8" s="7" t="b">
        <f t="shared" si="0"/>
        <v>1</v>
      </c>
      <c r="M8" s="7" t="b">
        <f t="shared" si="1"/>
        <v>1</v>
      </c>
      <c r="N8" s="7">
        <f t="shared" si="8"/>
        <v>1</v>
      </c>
      <c r="O8" s="7" t="b">
        <f t="shared" si="9"/>
        <v>1</v>
      </c>
      <c r="P8" s="7" t="b">
        <f t="shared" si="10"/>
        <v>1</v>
      </c>
    </row>
    <row r="9" spans="2:22" x14ac:dyDescent="0.3">
      <c r="B9" s="7" t="s">
        <v>21</v>
      </c>
      <c r="C9" s="7">
        <v>10</v>
      </c>
      <c r="D9" s="7">
        <v>150000</v>
      </c>
      <c r="E9" s="7">
        <v>15000</v>
      </c>
      <c r="F9" s="7">
        <f t="shared" si="2"/>
        <v>10</v>
      </c>
      <c r="G9" s="7">
        <f t="shared" si="3"/>
        <v>165000</v>
      </c>
      <c r="H9" s="8">
        <f t="shared" si="4"/>
        <v>0.1</v>
      </c>
      <c r="I9" s="9">
        <f t="shared" si="5"/>
        <v>165000</v>
      </c>
      <c r="J9" s="7" t="b">
        <f t="shared" si="6"/>
        <v>1</v>
      </c>
      <c r="K9" s="7" t="b">
        <f t="shared" si="7"/>
        <v>0</v>
      </c>
      <c r="L9" s="7" t="b">
        <f t="shared" si="0"/>
        <v>1</v>
      </c>
      <c r="M9" s="7" t="b">
        <f t="shared" si="1"/>
        <v>1</v>
      </c>
      <c r="N9" s="7">
        <f t="shared" si="8"/>
        <v>1</v>
      </c>
      <c r="O9" s="7" t="b">
        <f t="shared" si="9"/>
        <v>1</v>
      </c>
      <c r="P9" s="7" t="b">
        <f t="shared" si="10"/>
        <v>1</v>
      </c>
    </row>
    <row r="10" spans="2:22" x14ac:dyDescent="0.3">
      <c r="B10" s="7" t="s">
        <v>22</v>
      </c>
      <c r="C10" s="7">
        <v>8</v>
      </c>
      <c r="D10" s="7">
        <v>130000</v>
      </c>
      <c r="E10" s="7">
        <v>13000</v>
      </c>
      <c r="F10" s="7">
        <f t="shared" si="2"/>
        <v>8</v>
      </c>
      <c r="G10" s="7">
        <f t="shared" si="3"/>
        <v>143000</v>
      </c>
      <c r="H10" s="8">
        <f t="shared" si="4"/>
        <v>0.1</v>
      </c>
      <c r="I10" s="9">
        <f t="shared" si="5"/>
        <v>143000</v>
      </c>
      <c r="J10" s="7" t="b">
        <f t="shared" si="6"/>
        <v>1</v>
      </c>
      <c r="K10" s="7" t="b">
        <f t="shared" si="7"/>
        <v>0</v>
      </c>
      <c r="L10" s="7" t="b">
        <f t="shared" si="0"/>
        <v>1</v>
      </c>
      <c r="M10" s="7" t="b">
        <f t="shared" si="1"/>
        <v>1</v>
      </c>
      <c r="N10" s="7">
        <f t="shared" si="8"/>
        <v>1</v>
      </c>
      <c r="O10" s="7" t="b">
        <f t="shared" si="9"/>
        <v>1</v>
      </c>
      <c r="P10" s="7" t="b">
        <f t="shared" si="10"/>
        <v>1</v>
      </c>
    </row>
    <row r="11" spans="2:22" x14ac:dyDescent="0.3">
      <c r="B11" s="7" t="s">
        <v>23</v>
      </c>
      <c r="C11" s="7">
        <v>3</v>
      </c>
      <c r="D11" s="7">
        <v>140000</v>
      </c>
      <c r="E11" s="7">
        <v>14000</v>
      </c>
      <c r="F11" s="7">
        <f t="shared" si="2"/>
        <v>3</v>
      </c>
      <c r="G11" s="7">
        <f t="shared" si="3"/>
        <v>154000</v>
      </c>
      <c r="H11" s="8">
        <f t="shared" si="4"/>
        <v>0.1</v>
      </c>
      <c r="I11" s="9">
        <f t="shared" si="5"/>
        <v>154000</v>
      </c>
      <c r="J11" s="7" t="b">
        <f t="shared" si="6"/>
        <v>1</v>
      </c>
      <c r="K11" s="7" t="b">
        <f t="shared" si="7"/>
        <v>0</v>
      </c>
      <c r="L11" s="7" t="b">
        <f t="shared" si="0"/>
        <v>1</v>
      </c>
      <c r="M11" s="7" t="b">
        <f t="shared" si="1"/>
        <v>1</v>
      </c>
      <c r="N11" s="7">
        <f t="shared" si="8"/>
        <v>1</v>
      </c>
      <c r="O11" s="7" t="b">
        <f t="shared" si="9"/>
        <v>1</v>
      </c>
      <c r="P11" s="7" t="b">
        <f t="shared" si="10"/>
        <v>1</v>
      </c>
    </row>
    <row r="12" spans="2:22" x14ac:dyDescent="0.3">
      <c r="B12" s="7" t="s">
        <v>24</v>
      </c>
      <c r="C12" s="7">
        <v>5</v>
      </c>
      <c r="D12" s="7">
        <v>115000</v>
      </c>
      <c r="E12" s="7">
        <v>9000</v>
      </c>
      <c r="F12" s="7">
        <f t="shared" si="2"/>
        <v>5</v>
      </c>
      <c r="G12" s="7">
        <f t="shared" si="3"/>
        <v>124000</v>
      </c>
      <c r="H12" s="8">
        <f t="shared" si="4"/>
        <v>7.8260869565217397E-2</v>
      </c>
      <c r="I12" s="9">
        <f t="shared" si="5"/>
        <v>124000</v>
      </c>
      <c r="J12" s="7" t="b">
        <f t="shared" si="6"/>
        <v>1</v>
      </c>
      <c r="K12" s="7" t="b">
        <f t="shared" si="7"/>
        <v>0</v>
      </c>
      <c r="L12" s="7" t="b">
        <f t="shared" si="0"/>
        <v>1</v>
      </c>
      <c r="M12" s="7" t="b">
        <f t="shared" si="1"/>
        <v>1</v>
      </c>
      <c r="N12" s="7">
        <f t="shared" si="8"/>
        <v>1</v>
      </c>
      <c r="O12" s="7" t="b">
        <f t="shared" si="9"/>
        <v>1</v>
      </c>
      <c r="P12" s="7" t="b">
        <f t="shared" si="10"/>
        <v>1</v>
      </c>
    </row>
    <row r="13" spans="2:22" x14ac:dyDescent="0.3">
      <c r="B13" s="11" t="s">
        <v>28</v>
      </c>
      <c r="C13" s="14">
        <f>(C3+C4+C5+C6+C7+C8+C9+C10+C11+C12)/10</f>
        <v>5.3</v>
      </c>
      <c r="D13" s="14">
        <f t="shared" ref="D13:K13" si="11">(D3+D4+D5+D6+D7+D8+D9+D10+D11+D12)/10</f>
        <v>119000</v>
      </c>
      <c r="E13" s="14">
        <f t="shared" si="11"/>
        <v>10400</v>
      </c>
      <c r="F13" s="12">
        <f t="shared" si="11"/>
        <v>5.3</v>
      </c>
      <c r="G13" s="12">
        <f t="shared" si="11"/>
        <v>129400</v>
      </c>
      <c r="H13" s="12">
        <f t="shared" si="11"/>
        <v>8.5565480895915674E-2</v>
      </c>
      <c r="I13" s="12">
        <f t="shared" si="11"/>
        <v>129400</v>
      </c>
      <c r="J13" s="12">
        <f t="shared" si="11"/>
        <v>1</v>
      </c>
      <c r="K13" s="12">
        <f t="shared" si="11"/>
        <v>0</v>
      </c>
      <c r="L13" s="12"/>
      <c r="M13" s="13"/>
      <c r="N13" s="13"/>
      <c r="O13" s="13"/>
      <c r="P13" s="13"/>
    </row>
    <row r="14" spans="2:22" x14ac:dyDescent="0.3">
      <c r="B14" s="11" t="s">
        <v>29</v>
      </c>
      <c r="C14" s="14">
        <f>AVERAGE(C3:C12)</f>
        <v>5.3</v>
      </c>
      <c r="D14" s="14">
        <f t="shared" ref="D14:E14" si="12">AVERAGE(D3:D12)</f>
        <v>119000</v>
      </c>
      <c r="E14" s="14">
        <f t="shared" si="12"/>
        <v>10400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3"/>
    </row>
    <row r="15" spans="2:22" x14ac:dyDescent="0.3">
      <c r="B15" s="11" t="s">
        <v>30</v>
      </c>
      <c r="C15" s="12">
        <f>COUNT(C3:C12)</f>
        <v>10</v>
      </c>
      <c r="D15" s="12">
        <f>COUNT(D3:D12)</f>
        <v>10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3"/>
    </row>
    <row r="16" spans="2:22" x14ac:dyDescent="0.3">
      <c r="B16" s="11" t="s">
        <v>31</v>
      </c>
      <c r="C16" s="12">
        <f>COUNTIF($C$3:$C$12,"&lt;=5")</f>
        <v>6</v>
      </c>
      <c r="D16" s="12">
        <f>COUNTIF($D$3:$D$12,"&gt;=90000")</f>
        <v>9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3"/>
    </row>
    <row r="17" spans="2:16" x14ac:dyDescent="0.3">
      <c r="B17" s="11" t="s">
        <v>31</v>
      </c>
      <c r="C17" s="12">
        <f>COUNTIF($C$3:$C$12,"&lt;="&amp;V4)</f>
        <v>6</v>
      </c>
      <c r="D17" s="12">
        <f>COUNTIF($D$3:$D$12,"&gt;="&amp;V5)</f>
        <v>9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76D0E-2D22-4C83-B115-4544A61186A1}">
  <dimension ref="A1:C8"/>
  <sheetViews>
    <sheetView tabSelected="1" workbookViewId="0">
      <selection activeCell="C18" sqref="C18"/>
    </sheetView>
  </sheetViews>
  <sheetFormatPr defaultRowHeight="14.4" x14ac:dyDescent="0.3"/>
  <cols>
    <col min="1" max="1" width="9.6640625" bestFit="1" customWidth="1"/>
    <col min="2" max="2" width="32" bestFit="1" customWidth="1"/>
    <col min="3" max="3" width="64.6640625" bestFit="1" customWidth="1"/>
  </cols>
  <sheetData>
    <row r="1" spans="1:3" x14ac:dyDescent="0.3">
      <c r="A1" s="15" t="s">
        <v>32</v>
      </c>
      <c r="B1" s="15" t="s">
        <v>33</v>
      </c>
      <c r="C1" s="15" t="s">
        <v>34</v>
      </c>
    </row>
    <row r="2" spans="1:3" x14ac:dyDescent="0.3">
      <c r="A2" s="16" t="e">
        <f>1/0</f>
        <v>#DIV/0!</v>
      </c>
      <c r="B2" s="17" t="s">
        <v>35</v>
      </c>
      <c r="C2" s="16" t="s">
        <v>36</v>
      </c>
    </row>
    <row r="3" spans="1:3" x14ac:dyDescent="0.3">
      <c r="A3" s="16" t="e">
        <f>#REF! + "text"</f>
        <v>#REF!</v>
      </c>
      <c r="B3" s="17" t="s">
        <v>37</v>
      </c>
      <c r="C3" s="16" t="s">
        <v>38</v>
      </c>
    </row>
    <row r="4" spans="1:3" x14ac:dyDescent="0.3">
      <c r="A4" s="18" t="e">
        <f>#REF!</f>
        <v>#REF!</v>
      </c>
      <c r="B4" s="17" t="s">
        <v>39</v>
      </c>
      <c r="C4" s="16" t="s">
        <v>40</v>
      </c>
    </row>
    <row r="5" spans="1:3" x14ac:dyDescent="0.3">
      <c r="A5" s="18" t="e" cm="1">
        <f t="array" aca="1" ref="A5" ca="1">COUNTT(#REF!)</f>
        <v>#NAME?</v>
      </c>
      <c r="B5" s="17" t="s">
        <v>41</v>
      </c>
      <c r="C5" s="16" t="s">
        <v>42</v>
      </c>
    </row>
    <row r="6" spans="1:3" x14ac:dyDescent="0.3">
      <c r="A6" s="16" t="e">
        <f>VLOOKUP("Value",#REF!, 2, FALSE)</f>
        <v>#REF!</v>
      </c>
      <c r="B6" s="17" t="s">
        <v>43</v>
      </c>
      <c r="C6" s="16" t="s">
        <v>44</v>
      </c>
    </row>
    <row r="7" spans="1:3" x14ac:dyDescent="0.3">
      <c r="A7" s="16" t="e">
        <f>SQRT(-1)</f>
        <v>#NUM!</v>
      </c>
      <c r="B7" s="17" t="s">
        <v>45</v>
      </c>
      <c r="C7" s="16" t="s">
        <v>46</v>
      </c>
    </row>
    <row r="8" spans="1:3" x14ac:dyDescent="0.3">
      <c r="A8" s="16" t="e">
        <f>SUM(#REF! #REF!)</f>
        <v>#REF!</v>
      </c>
      <c r="B8" s="17" t="s">
        <v>47</v>
      </c>
      <c r="C8" s="1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sofi khalandar</dc:creator>
  <cp:lastModifiedBy>S sofi khalandar</cp:lastModifiedBy>
  <dcterms:created xsi:type="dcterms:W3CDTF">2026-03-06T17:02:42Z</dcterms:created>
  <dcterms:modified xsi:type="dcterms:W3CDTF">2026-03-06T18:05:47Z</dcterms:modified>
</cp:coreProperties>
</file>